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oan G-702" sheetId="1" r:id="rId5"/>
    <sheet name="G-703 Total Hard Cost " sheetId="2" r:id="rId6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<sst xmlns="http://schemas.openxmlformats.org/spreadsheetml/2006/main" uniqueCount="126">
  <si>
    <t>APPLICATION AND CERTIFICATION FOR PAYMENT</t>
  </si>
  <si>
    <t>AIA DOCUMENT G702</t>
  </si>
  <si>
    <t>PAGE ONE OF</t>
  </si>
  <si>
    <t>PAGES</t>
  </si>
  <si>
    <t>TO OWNER:</t>
  </si>
  <si>
    <t>PROJECT:</t>
  </si>
  <si>
    <t>APPLICATION NO:</t>
  </si>
  <si>
    <t>Distribution to:</t>
  </si>
  <si>
    <t>OWNER</t>
  </si>
  <si>
    <t>PERIOD TO:</t>
  </si>
  <si>
    <t>ARCHITECT</t>
  </si>
  <si>
    <t>FROM CONTRACTOR:</t>
  </si>
  <si>
    <t>VIA ARCHITECT:</t>
  </si>
  <si>
    <t>CONTRACTOR</t>
  </si>
  <si>
    <t xml:space="preserve"> </t>
  </si>
  <si>
    <t>PROJECT NOS:</t>
  </si>
  <si>
    <t xml:space="preserve">CONTRACT FOR: </t>
  </si>
  <si>
    <t>CONTRACT DATE:</t>
  </si>
  <si>
    <t>CONTRACTOR'S APPLICATION FOR PAYMENT</t>
  </si>
  <si>
    <t xml:space="preserve">The undersigned Contractor certifies that to the best of the Contractor's knowledge, </t>
  </si>
  <si>
    <t>Application is made for payment, as shown below, in connection with the Contract.</t>
  </si>
  <si>
    <t>information and belief the Work covered by this Application for Payment has been</t>
  </si>
  <si>
    <t>Continuation Sheet, AIA Document G703, is attached.</t>
  </si>
  <si>
    <t xml:space="preserve">completed in accordance with the Contract Documents, that all amounts have been paid by </t>
  </si>
  <si>
    <t xml:space="preserve">the Contractor for Work for which previous Certificates for Payment were issued and </t>
  </si>
  <si>
    <t>payments received from the Owner, and that current payment shown herein is now due.</t>
  </si>
  <si>
    <t xml:space="preserve">1.  ORIGINAL CONTRACT SUM </t>
  </si>
  <si>
    <t xml:space="preserve"> $</t>
  </si>
  <si>
    <t xml:space="preserve">2.  Net change by Change Orders </t>
  </si>
  <si>
    <t>CONTRACTOR:</t>
  </si>
  <si>
    <t>3.  CONTRACT SUM TO DATE (Line 1 ± 2)                                        $</t>
  </si>
  <si>
    <t>$</t>
  </si>
  <si>
    <t>4.  TOTAL COMPLETED &amp; STORED TO</t>
  </si>
  <si>
    <t xml:space="preserve">         DATE       (Column G on G703)</t>
  </si>
  <si>
    <t>By:</t>
  </si>
  <si>
    <t xml:space="preserve"> Date:</t>
  </si>
  <si>
    <t>5.  RETAINAGE:</t>
  </si>
  <si>
    <t>a.</t>
  </si>
  <si>
    <t>% of Completed Work                 $</t>
  </si>
  <si>
    <t>State of:</t>
  </si>
  <si>
    <t>County of:</t>
  </si>
  <si>
    <t>(Column D + E on G703)</t>
  </si>
  <si>
    <t>Subscribed and sworn to before me this</t>
  </si>
  <si>
    <t xml:space="preserve">          day of</t>
  </si>
  <si>
    <t>b.</t>
  </si>
  <si>
    <t>% of Stored Material                   $</t>
  </si>
  <si>
    <t>Notary Public:</t>
  </si>
  <si>
    <t>(Column F on G703)</t>
  </si>
  <si>
    <t>My Commission expires:</t>
  </si>
  <si>
    <t xml:space="preserve">           Total Retainage (Lines 5a + 5b or</t>
  </si>
  <si>
    <t xml:space="preserve">Total in Column I of G703) </t>
  </si>
  <si>
    <t>ARCHITECT'S CERTIFICATE FOR PAYMENT</t>
  </si>
  <si>
    <t xml:space="preserve">6.  TOTAL EARNED LESS RETAINAGE </t>
  </si>
  <si>
    <t>In accordance with the Contract Documents, based on on-site observations and the data</t>
  </si>
  <si>
    <t>(Line 4 Less Line 5 Total)</t>
  </si>
  <si>
    <t>comprising the application, the Architect certifies to the Owner that to the best of  the</t>
  </si>
  <si>
    <t>7.  LESS PREVIOUS CERTIFICATES FOR</t>
  </si>
  <si>
    <t xml:space="preserve"> Architect's knowledge, information and belief the Work has progressed as indicated,</t>
  </si>
  <si>
    <t xml:space="preserve">     PAYMENT (Line 6 from prior Certificate) </t>
  </si>
  <si>
    <t>the quality of the Work is in accordance with the Contract Documents, and the Contractor</t>
  </si>
  <si>
    <t xml:space="preserve">8.  CURRENT PAYMENT DUE </t>
  </si>
  <si>
    <t>is entitled to payment of the AMOUNT CERTIFIED.</t>
  </si>
  <si>
    <t>9.  BALANCE TO FINISH, INCLUDING RETAINAGE                     $</t>
  </si>
  <si>
    <t>(Line 3 less Line 6)</t>
  </si>
  <si>
    <t>AMOUNT CERTIFIED . . . . . . . . . . . $</t>
  </si>
  <si>
    <t>CHANGE ORDER SUMMARY</t>
  </si>
  <si>
    <t>ADDITIONS</t>
  </si>
  <si>
    <t>DEDUCTIONS</t>
  </si>
  <si>
    <t>(Attach explanation if amount certified differs from the amount applied. Initial all figures on this</t>
  </si>
  <si>
    <t xml:space="preserve">     Total changes approved</t>
  </si>
  <si>
    <t>Application and onthe Continuation Sheet that are changed to conform with the amount certified.)</t>
  </si>
  <si>
    <t xml:space="preserve">     in previous months by Owner</t>
  </si>
  <si>
    <t>ARCHITECT:</t>
  </si>
  <si>
    <t xml:space="preserve">     Total approved this Month</t>
  </si>
  <si>
    <t xml:space="preserve">     TOTALS</t>
  </si>
  <si>
    <t xml:space="preserve">This Certificate is not negotiable.  The AMOUNT CERTIFIED is payable only to the </t>
  </si>
  <si>
    <t xml:space="preserve">Contractor named herein. Issuance, payment and acceptance of payment are without </t>
  </si>
  <si>
    <t xml:space="preserve">     NET CHANGES by Change Order</t>
  </si>
  <si>
    <t>prejudice to any rights of the Owner or Contractor under this Contract.</t>
  </si>
  <si>
    <t>AIA DOCUMENT G702 · APPLICATION AND CERTIFICATION FOR PAYMENT · 1992 EDITION · AIA  · ©1992</t>
  </si>
  <si>
    <t>THE AMERICAN INSTITUTE OF ARCHITECTS, 1735 NEW YORK AVE., N.W., WASHINGTON, DC 20006-5292</t>
  </si>
  <si>
    <t>CONTINUATION SHEET</t>
  </si>
  <si>
    <t>AIA DOCUMENT G703</t>
  </si>
  <si>
    <t>AIA Document G702, APPLICATION AND CERTIFICATION FOR PAYMENT, containing</t>
  </si>
  <si>
    <t>Contractor's signed certification is attached.</t>
  </si>
  <si>
    <t>APPLICATION DATE:</t>
  </si>
  <si>
    <t>In tabulations below, amounts are stated to the nearest dollar.</t>
  </si>
  <si>
    <t>Use Column I on Contracts where variable retainage for line items may apply.</t>
  </si>
  <si>
    <t>ARCHITECT'S PROJECT NO:</t>
  </si>
  <si>
    <t>A</t>
  </si>
  <si>
    <t>B</t>
  </si>
  <si>
    <t>C</t>
  </si>
  <si>
    <t>D</t>
  </si>
  <si>
    <t>E</t>
  </si>
  <si>
    <t>F</t>
  </si>
  <si>
    <t>G</t>
  </si>
  <si>
    <t>H</t>
  </si>
  <si>
    <t>I</t>
  </si>
  <si>
    <t>ITEM</t>
  </si>
  <si>
    <t>DESCRIPTION OF WORK</t>
  </si>
  <si>
    <t>SCHEDULED</t>
  </si>
  <si>
    <t>WORK COMPLETED</t>
  </si>
  <si>
    <t>MATERIALS</t>
  </si>
  <si>
    <t>TOTAL</t>
  </si>
  <si>
    <t>%</t>
  </si>
  <si>
    <t>BALANCE</t>
  </si>
  <si>
    <t>RETAINAGE</t>
  </si>
  <si>
    <t>NO.</t>
  </si>
  <si>
    <t>VALUE</t>
  </si>
  <si>
    <t>FROM PREVIOUS</t>
  </si>
  <si>
    <t>THIS PERIOD</t>
  </si>
  <si>
    <t>PRESENTLY</t>
  </si>
  <si>
    <t>COMPLETED</t>
  </si>
  <si>
    <t>(G ÷ C)</t>
  </si>
  <si>
    <t>TO FINISH</t>
  </si>
  <si>
    <t>APPLICATION</t>
  </si>
  <si>
    <t>STORED</t>
  </si>
  <si>
    <t>AND STORED</t>
  </si>
  <si>
    <t>(C - G)</t>
  </si>
  <si>
    <t>(D + E)</t>
  </si>
  <si>
    <t>(NOT IN</t>
  </si>
  <si>
    <t>TO DATE</t>
  </si>
  <si>
    <t>D OR E)</t>
  </si>
  <si>
    <t>(D+E+F)</t>
  </si>
  <si>
    <t>CONTRACT</t>
  </si>
  <si>
    <t>GRAND TOTALS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</si>
</sst>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mm/dd/yy"/>
    <numFmt numFmtId="60" formatCode="&quot;$&quot;#,##0.00&quot; &quot;;(&quot;$&quot;#,##0.00)"/>
    <numFmt numFmtId="61" formatCode="#,##0&quot; &quot;;(#,##0)"/>
    <numFmt numFmtId="62" formatCode="#,##0.00&quot; &quot;;(#,##0.00)"/>
    <numFmt numFmtId="63" formatCode="0&quot; &quot;;(0)"/>
  </numFmts>
  <fonts count="27">
    <font>
      <sz val="10"/>
      <color indexed="8"/>
      <name val="Tms Rmn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i val="1"/>
      <sz val="12"/>
      <color indexed="8"/>
      <name val="Times New Roman"/>
    </font>
    <font>
      <sz val="7"/>
      <color indexed="8"/>
      <name val="Arial"/>
    </font>
    <font>
      <sz val="8"/>
      <color indexed="8"/>
      <name val="Helv"/>
    </font>
    <font>
      <sz val="10"/>
      <color indexed="8"/>
      <name val="Times New Roman"/>
    </font>
    <font>
      <sz val="9"/>
      <color indexed="11"/>
      <name val="Times New Roman"/>
    </font>
    <font>
      <sz val="10"/>
      <color indexed="12"/>
      <name val="Times New Roman"/>
    </font>
    <font>
      <sz val="9"/>
      <color indexed="8"/>
      <name val="Times New Roman"/>
    </font>
    <font>
      <sz val="9"/>
      <color indexed="8"/>
      <name val="Tms Rmn"/>
    </font>
    <font>
      <sz val="14"/>
      <color indexed="8"/>
      <name val="Vladimir Script"/>
    </font>
    <font>
      <b val="1"/>
      <sz val="9"/>
      <color indexed="11"/>
      <name val="Times New Roman"/>
    </font>
    <font>
      <i val="1"/>
      <sz val="9"/>
      <color indexed="8"/>
      <name val="Times New Roman"/>
    </font>
    <font>
      <sz val="6"/>
      <color indexed="8"/>
      <name val="Helv"/>
    </font>
    <font>
      <b val="1"/>
      <sz val="8"/>
      <color indexed="8"/>
      <name val="Arial"/>
    </font>
    <font>
      <b val="1"/>
      <sz val="18"/>
      <color indexed="8"/>
      <name val="Helv"/>
    </font>
    <font>
      <sz val="8"/>
      <color indexed="8"/>
      <name val="Arial"/>
    </font>
    <font>
      <sz val="6"/>
      <color indexed="8"/>
      <name val="Arial"/>
    </font>
    <font>
      <sz val="10"/>
      <color indexed="12"/>
      <name val="Courier"/>
    </font>
    <font>
      <b val="1"/>
      <sz val="10"/>
      <color indexed="11"/>
      <name val="Tms Rmn"/>
    </font>
    <font>
      <sz val="8"/>
      <color indexed="8"/>
      <name val="Times New Roman"/>
    </font>
    <font>
      <b val="1"/>
      <sz val="10"/>
      <color indexed="8"/>
      <name val="Arial"/>
    </font>
    <font>
      <b val="1"/>
      <sz val="10"/>
      <color indexed="12"/>
      <name val="Tms Rmn"/>
    </font>
    <font>
      <b val="1"/>
      <sz val="10"/>
      <color indexed="13"/>
      <name val="Tms Rmn"/>
    </font>
    <font>
      <b val="1"/>
      <sz val="10"/>
      <color indexed="14"/>
      <name val="Tms Rmn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 style="medium">
        <color indexed="8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/>
      <top style="thin">
        <color indexed="8"/>
      </top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vertical="bottom"/>
    </xf>
    <xf numFmtId="1" fontId="5" fillId="2" borderId="2" applyNumberFormat="1" applyFont="1" applyFill="1" applyBorder="1" applyAlignment="1" applyProtection="0">
      <alignment vertical="bottom"/>
    </xf>
    <xf numFmtId="49" fontId="5" fillId="2" borderId="2" applyNumberFormat="1" applyFont="1" applyFill="1" applyBorder="1" applyAlignment="1" applyProtection="0">
      <alignment horizontal="right" vertical="bottom"/>
    </xf>
    <xf numFmtId="49" fontId="5" fillId="2" borderId="2" applyNumberFormat="1" applyFont="1" applyFill="1" applyBorder="1" applyAlignment="1" applyProtection="0">
      <alignment horizontal="left" vertical="bottom"/>
    </xf>
    <xf numFmtId="1" fontId="6" fillId="2" borderId="3" applyNumberFormat="1" applyFont="1" applyFill="1" applyBorder="1" applyAlignment="1" applyProtection="0">
      <alignment vertical="bottom"/>
    </xf>
    <xf numFmtId="1" fontId="6" fillId="2" borderId="4" applyNumberFormat="1" applyFont="1" applyFill="1" applyBorder="1" applyAlignment="1" applyProtection="0">
      <alignment vertical="bottom"/>
    </xf>
    <xf numFmtId="1" fontId="0" fillId="2" borderId="5" applyNumberFormat="1" applyFont="1" applyFill="1" applyBorder="1" applyAlignment="1" applyProtection="0">
      <alignment vertical="bottom"/>
    </xf>
    <xf numFmtId="1" fontId="0" fillId="2" borderId="6" applyNumberFormat="1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7" fillId="2" borderId="9" applyNumberFormat="1" applyFont="1" applyFill="1" applyBorder="1" applyAlignment="1" applyProtection="0">
      <alignment horizontal="left" vertical="bottom"/>
    </xf>
    <xf numFmtId="1" fontId="7" fillId="2" borderId="7" applyNumberFormat="1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right" vertical="bottom"/>
    </xf>
    <xf numFmtId="1" fontId="8" fillId="2" borderId="7" applyNumberFormat="1" applyFont="1" applyFill="1" applyBorder="1" applyAlignment="1" applyProtection="0">
      <alignment vertical="bottom"/>
    </xf>
    <xf numFmtId="1" fontId="9" fillId="2" borderId="7" applyNumberFormat="1" applyFont="1" applyFill="1" applyBorder="1" applyAlignment="1" applyProtection="0">
      <alignment vertical="bottom"/>
    </xf>
    <xf numFmtId="49" fontId="7" fillId="2" borderId="7" applyNumberFormat="1" applyFont="1" applyFill="1" applyBorder="1" applyAlignment="1" applyProtection="0">
      <alignment horizontal="left" vertical="bottom"/>
    </xf>
    <xf numFmtId="1" fontId="7" fillId="2" borderId="8" applyNumberFormat="1" applyFont="1" applyFill="1" applyBorder="1" applyAlignment="1" applyProtection="0">
      <alignment vertical="bottom"/>
    </xf>
    <xf numFmtId="1" fontId="7" fillId="2" borderId="9" applyNumberFormat="1" applyFont="1" applyFill="1" applyBorder="1" applyAlignment="1" applyProtection="0">
      <alignment vertical="bottom"/>
    </xf>
    <xf numFmtId="1" fontId="7" fillId="2" borderId="7" applyNumberFormat="1" applyFont="1" applyFill="1" applyBorder="1" applyAlignment="1" applyProtection="0">
      <alignment horizontal="right" vertical="bottom"/>
    </xf>
    <xf numFmtId="1" fontId="7" fillId="2" borderId="10" applyNumberFormat="1" applyFont="1" applyFill="1" applyBorder="1" applyAlignment="1" applyProtection="0">
      <alignment vertical="bottom"/>
    </xf>
    <xf numFmtId="1" fontId="7" fillId="2" borderId="11" applyNumberFormat="1" applyFont="1" applyFill="1" applyBorder="1" applyAlignment="1" applyProtection="0">
      <alignment vertical="bottom"/>
    </xf>
    <xf numFmtId="1" fontId="7" fillId="2" borderId="12" applyNumberFormat="1" applyFont="1" applyFill="1" applyBorder="1" applyAlignment="1" applyProtection="0">
      <alignment horizontal="center" vertical="bottom"/>
    </xf>
    <xf numFmtId="49" fontId="7" fillId="2" borderId="13" applyNumberFormat="1" applyFont="1" applyFill="1" applyBorder="1" applyAlignment="1" applyProtection="0">
      <alignment horizontal="left" vertical="bottom"/>
    </xf>
    <xf numFmtId="1" fontId="7" fillId="2" borderId="14" applyNumberFormat="1" applyFont="1" applyFill="1" applyBorder="1" applyAlignment="1" applyProtection="0">
      <alignment horizontal="center" vertical="bottom"/>
    </xf>
    <xf numFmtId="1" fontId="7" fillId="2" borderId="7" applyNumberFormat="1" applyFont="1" applyFill="1" applyBorder="1" applyAlignment="1" applyProtection="0">
      <alignment horizontal="left" vertical="bottom"/>
    </xf>
    <xf numFmtId="59" fontId="9" fillId="2" borderId="7" applyNumberFormat="1" applyFont="1" applyFill="1" applyBorder="1" applyAlignment="1" applyProtection="0">
      <alignment vertical="bottom"/>
    </xf>
    <xf numFmtId="1" fontId="9" fillId="2" borderId="11" applyNumberFormat="1" applyFont="1" applyFill="1" applyBorder="1" applyAlignment="1" applyProtection="0">
      <alignment vertical="bottom"/>
    </xf>
    <xf numFmtId="1" fontId="7" fillId="2" borderId="15" applyNumberFormat="1" applyFont="1" applyFill="1" applyBorder="1" applyAlignment="1" applyProtection="0">
      <alignment horizontal="center" vertical="bottom"/>
    </xf>
    <xf numFmtId="1" fontId="7" fillId="2" borderId="10" applyNumberFormat="1" applyFont="1" applyFill="1" applyBorder="1" applyAlignment="1" applyProtection="0">
      <alignment horizontal="center" vertical="bottom"/>
    </xf>
    <xf numFmtId="1" fontId="9" fillId="2" borderId="13" applyNumberFormat="1" applyFont="1" applyFill="1" applyBorder="1" applyAlignment="1" applyProtection="0">
      <alignment vertical="bottom"/>
    </xf>
    <xf numFmtId="1" fontId="7" fillId="2" borderId="15" applyNumberFormat="1" applyFont="1" applyFill="1" applyBorder="1" applyAlignment="1" applyProtection="0">
      <alignment vertical="bottom"/>
    </xf>
    <xf numFmtId="49" fontId="7" fillId="2" borderId="16" applyNumberFormat="1" applyFont="1" applyFill="1" applyBorder="1" applyAlignment="1" applyProtection="0">
      <alignment horizontal="left" vertical="bottom"/>
    </xf>
    <xf numFmtId="1" fontId="7" fillId="2" borderId="17" applyNumberFormat="1" applyFont="1" applyFill="1" applyBorder="1" applyAlignment="1" applyProtection="0">
      <alignment vertical="bottom"/>
    </xf>
    <xf numFmtId="1" fontId="0" fillId="2" borderId="17" applyNumberFormat="1" applyFont="1" applyFill="1" applyBorder="1" applyAlignment="1" applyProtection="0">
      <alignment vertical="bottom"/>
    </xf>
    <xf numFmtId="1" fontId="9" fillId="2" borderId="17" applyNumberFormat="1" applyFont="1" applyFill="1" applyBorder="1" applyAlignment="1" applyProtection="0">
      <alignment vertical="bottom"/>
    </xf>
    <xf numFmtId="49" fontId="7" fillId="2" borderId="17" applyNumberFormat="1" applyFont="1" applyFill="1" applyBorder="1" applyAlignment="1" applyProtection="0">
      <alignment horizontal="left" vertical="bottom"/>
    </xf>
    <xf numFmtId="49" fontId="3" fillId="2" borderId="9" applyNumberFormat="1" applyFont="1" applyFill="1" applyBorder="1" applyAlignment="1" applyProtection="0">
      <alignment horizontal="left" vertical="bottom"/>
    </xf>
    <xf numFmtId="49" fontId="10" fillId="2" borderId="7" applyNumberFormat="1" applyFont="1" applyFill="1" applyBorder="1" applyAlignment="1" applyProtection="0">
      <alignment horizontal="left" vertical="bottom"/>
    </xf>
    <xf numFmtId="49" fontId="10" fillId="2" borderId="9" applyNumberFormat="1" applyFont="1" applyFill="1" applyBorder="1" applyAlignment="1" applyProtection="0">
      <alignment horizontal="left" vertical="bottom"/>
    </xf>
    <xf numFmtId="1" fontId="11" fillId="2" borderId="7" applyNumberFormat="1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10" fillId="2" borderId="7" applyNumberFormat="1" applyFont="1" applyFill="1" applyBorder="1" applyAlignment="1" applyProtection="0">
      <alignment horizontal="right" vertical="bottom"/>
    </xf>
    <xf numFmtId="60" fontId="0" fillId="2" borderId="10" applyNumberFormat="1" applyFont="1" applyFill="1" applyBorder="1" applyAlignment="1" applyProtection="0">
      <alignment vertical="bottom"/>
    </xf>
    <xf numFmtId="60" fontId="0" fillId="2" borderId="14" applyNumberFormat="1" applyFont="1" applyFill="1" applyBorder="1" applyAlignment="1" applyProtection="0">
      <alignment vertical="bottom"/>
    </xf>
    <xf numFmtId="1" fontId="0" fillId="2" borderId="7" applyNumberFormat="1" applyFont="1" applyFill="1" applyBorder="1" applyAlignment="1" applyProtection="0">
      <alignment vertical="bottom"/>
    </xf>
    <xf numFmtId="1" fontId="0" fillId="2" borderId="15" applyNumberFormat="1" applyFont="1" applyFill="1" applyBorder="1" applyAlignment="1" applyProtection="0">
      <alignment vertical="bottom"/>
    </xf>
    <xf numFmtId="1" fontId="12" fillId="2" borderId="10" applyNumberFormat="1" applyFont="1" applyFill="1" applyBorder="1" applyAlignment="1" applyProtection="0">
      <alignment vertical="bottom"/>
    </xf>
    <xf numFmtId="1" fontId="0" fillId="2" borderId="10" applyNumberFormat="1" applyFont="1" applyFill="1" applyBorder="1" applyAlignment="1" applyProtection="0">
      <alignment vertical="bottom"/>
    </xf>
    <xf numFmtId="14" fontId="0" fillId="2" borderId="10" applyNumberFormat="1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49" fontId="10" fillId="2" borderId="9" applyNumberFormat="1" applyFont="1" applyFill="1" applyBorder="1" applyAlignment="1" applyProtection="0">
      <alignment horizontal="right" vertical="bottom"/>
    </xf>
    <xf numFmtId="49" fontId="10" fillId="2" borderId="15" applyNumberFormat="1" applyFont="1" applyFill="1" applyBorder="1" applyAlignment="1" applyProtection="0">
      <alignment horizontal="left" vertical="bottom"/>
    </xf>
    <xf numFmtId="49" fontId="0" fillId="2" borderId="7" applyNumberFormat="1" applyFont="1" applyFill="1" applyBorder="1" applyAlignment="1" applyProtection="0">
      <alignment vertical="bottom"/>
    </xf>
    <xf numFmtId="61" fontId="0" fillId="2" borderId="10" applyNumberFormat="1" applyFont="1" applyFill="1" applyBorder="1" applyAlignment="1" applyProtection="0">
      <alignment vertical="bottom"/>
    </xf>
    <xf numFmtId="1" fontId="11" fillId="2" borderId="17" applyNumberFormat="1" applyFont="1" applyFill="1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horizontal="left" vertical="bottom"/>
    </xf>
    <xf numFmtId="1" fontId="6" fillId="2" borderId="6" applyNumberFormat="1" applyFont="1" applyFill="1" applyBorder="1" applyAlignment="1" applyProtection="0">
      <alignment vertical="bottom"/>
    </xf>
    <xf numFmtId="62" fontId="0" fillId="2" borderId="15" applyNumberFormat="1" applyFont="1" applyFill="1" applyBorder="1" applyAlignment="1" applyProtection="0">
      <alignment vertical="bottom"/>
    </xf>
    <xf numFmtId="62" fontId="0" fillId="2" borderId="7" applyNumberFormat="1" applyFont="1" applyFill="1" applyBorder="1" applyAlignment="1" applyProtection="0">
      <alignment vertical="bottom"/>
    </xf>
    <xf numFmtId="60" fontId="13" fillId="2" borderId="14" applyNumberFormat="1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49" fontId="10" fillId="2" borderId="18" applyNumberFormat="1" applyFont="1" applyFill="1" applyBorder="1" applyAlignment="1" applyProtection="0">
      <alignment horizontal="center" vertical="bottom"/>
    </xf>
    <xf numFmtId="1" fontId="10" fillId="2" borderId="19" applyNumberFormat="1" applyFont="1" applyFill="1" applyBorder="1" applyAlignment="1" applyProtection="0">
      <alignment horizontal="center" vertical="bottom"/>
    </xf>
    <xf numFmtId="1" fontId="10" fillId="2" borderId="20" applyNumberFormat="1" applyFont="1" applyFill="1" applyBorder="1" applyAlignment="1" applyProtection="0">
      <alignment horizontal="center" vertical="bottom"/>
    </xf>
    <xf numFmtId="49" fontId="10" fillId="2" borderId="21" applyNumberFormat="1" applyFont="1" applyFill="1" applyBorder="1" applyAlignment="1" applyProtection="0">
      <alignment horizontal="center" vertical="bottom"/>
    </xf>
    <xf numFmtId="49" fontId="10" fillId="2" borderId="22" applyNumberFormat="1" applyFont="1" applyFill="1" applyBorder="1" applyAlignment="1" applyProtection="0">
      <alignment horizontal="center" vertical="bottom"/>
    </xf>
    <xf numFmtId="1" fontId="11" fillId="2" borderId="23" applyNumberFormat="1" applyFont="1" applyFill="1" applyBorder="1" applyAlignment="1" applyProtection="0">
      <alignment vertical="bottom"/>
    </xf>
    <xf numFmtId="49" fontId="14" fillId="2" borderId="7" applyNumberFormat="1" applyFont="1" applyFill="1" applyBorder="1" applyAlignment="1" applyProtection="0">
      <alignment horizontal="left" vertical="bottom"/>
    </xf>
    <xf numFmtId="49" fontId="10" fillId="2" borderId="24" applyNumberFormat="1" applyFont="1" applyFill="1" applyBorder="1" applyAlignment="1" applyProtection="0">
      <alignment horizontal="left" vertical="bottom"/>
    </xf>
    <xf numFmtId="0" fontId="0" fillId="2" borderId="25" applyNumberFormat="0" applyFont="1" applyFill="1" applyBorder="1" applyAlignment="1" applyProtection="0">
      <alignment vertical="bottom"/>
    </xf>
    <xf numFmtId="60" fontId="0" fillId="2" borderId="26" applyNumberFormat="1" applyFont="1" applyFill="1" applyBorder="1" applyAlignment="1" applyProtection="0">
      <alignment vertical="bottom"/>
    </xf>
    <xf numFmtId="60" fontId="0" fillId="2" borderId="27" applyNumberFormat="1" applyFont="1" applyFill="1" applyBorder="1" applyAlignment="1" applyProtection="0">
      <alignment vertical="bottom"/>
    </xf>
    <xf numFmtId="49" fontId="10" fillId="2" borderId="28" applyNumberFormat="1" applyFont="1" applyFill="1" applyBorder="1" applyAlignment="1" applyProtection="0">
      <alignment horizontal="left" vertical="bottom"/>
    </xf>
    <xf numFmtId="1" fontId="0" fillId="2" borderId="29" applyNumberFormat="1" applyFont="1" applyFill="1" applyBorder="1" applyAlignment="1" applyProtection="0">
      <alignment vertical="bottom"/>
    </xf>
    <xf numFmtId="60" fontId="0" fillId="2" borderId="30" applyNumberFormat="1" applyFont="1" applyFill="1" applyBorder="1" applyAlignment="1" applyProtection="0">
      <alignment vertical="bottom"/>
    </xf>
    <xf numFmtId="60" fontId="0" fillId="2" borderId="31" applyNumberFormat="1" applyFont="1" applyFill="1" applyBorder="1" applyAlignment="1" applyProtection="0">
      <alignment vertical="bottom"/>
    </xf>
    <xf numFmtId="1" fontId="0" fillId="2" borderId="24" applyNumberFormat="1" applyFont="1" applyFill="1" applyBorder="1" applyAlignment="1" applyProtection="0">
      <alignment vertical="bottom"/>
    </xf>
    <xf numFmtId="49" fontId="0" fillId="2" borderId="26" applyNumberFormat="1" applyFont="1" applyFill="1" applyBorder="1" applyAlignment="1" applyProtection="0">
      <alignment vertical="bottom"/>
    </xf>
    <xf numFmtId="60" fontId="10" fillId="2" borderId="32" applyNumberFormat="1" applyFont="1" applyFill="1" applyBorder="1" applyAlignment="1" applyProtection="0">
      <alignment horizontal="center" vertical="bottom"/>
    </xf>
    <xf numFmtId="60" fontId="10" fillId="2" borderId="33" applyNumberFormat="1" applyFont="1" applyFill="1" applyBorder="1" applyAlignment="1" applyProtection="0">
      <alignment horizontal="center" vertical="bottom"/>
    </xf>
    <xf numFmtId="49" fontId="10" fillId="2" borderId="34" applyNumberFormat="1" applyFont="1" applyFill="1" applyBorder="1" applyAlignment="1" applyProtection="0">
      <alignment horizontal="left" vertical="bottom"/>
    </xf>
    <xf numFmtId="1" fontId="0" fillId="2" borderId="35" applyNumberFormat="1" applyFont="1" applyFill="1" applyBorder="1" applyAlignment="1" applyProtection="0">
      <alignment vertical="bottom"/>
    </xf>
    <xf numFmtId="60" fontId="10" fillId="2" borderId="36" applyNumberFormat="1" applyFont="1" applyFill="1" applyBorder="1" applyAlignment="1" applyProtection="0">
      <alignment horizontal="center" vertical="bottom"/>
    </xf>
    <xf numFmtId="60" fontId="10" fillId="2" borderId="37" applyNumberFormat="1" applyFont="1" applyFill="1" applyBorder="1" applyAlignment="1" applyProtection="0">
      <alignment horizontal="center" vertical="bottom"/>
    </xf>
    <xf numFmtId="0" fontId="0" fillId="2" borderId="38" applyNumberFormat="0" applyFont="1" applyFill="1" applyBorder="1" applyAlignment="1" applyProtection="0">
      <alignment vertical="bottom"/>
    </xf>
    <xf numFmtId="0" fontId="0" fillId="2" borderId="39" applyNumberFormat="0" applyFont="1" applyFill="1" applyBorder="1" applyAlignment="1" applyProtection="0">
      <alignment vertical="bottom"/>
    </xf>
    <xf numFmtId="49" fontId="15" fillId="2" borderId="5" applyNumberFormat="1" applyFont="1" applyFill="1" applyBorder="1" applyAlignment="1" applyProtection="0">
      <alignment horizontal="left" vertical="bottom"/>
    </xf>
    <xf numFmtId="1" fontId="15" fillId="2" borderId="6" applyNumberFormat="1" applyFont="1" applyFill="1" applyBorder="1" applyAlignment="1" applyProtection="0">
      <alignment vertical="bottom"/>
    </xf>
    <xf numFmtId="49" fontId="15" fillId="2" borderId="6" applyNumberFormat="1" applyFont="1" applyFill="1" applyBorder="1" applyAlignment="1" applyProtection="0">
      <alignment horizontal="left" vertical="bottom"/>
    </xf>
    <xf numFmtId="1" fontId="15" fillId="2" borderId="7" applyNumberFormat="1" applyFont="1" applyFill="1" applyBorder="1" applyAlignment="1" applyProtection="0">
      <alignment vertical="bottom"/>
    </xf>
    <xf numFmtId="1" fontId="13" fillId="2" borderId="9" applyNumberFormat="1" applyFont="1" applyFill="1" applyBorder="1" applyAlignment="1" applyProtection="0">
      <alignment vertical="bottom"/>
    </xf>
    <xf numFmtId="1" fontId="13" fillId="2" borderId="7" applyNumberFormat="1" applyFont="1" applyFill="1" applyBorder="1" applyAlignment="1" applyProtection="0">
      <alignment vertical="bottom"/>
    </xf>
    <xf numFmtId="1" fontId="13" fillId="2" borderId="40" applyNumberFormat="1" applyFont="1" applyFill="1" applyBorder="1" applyAlignment="1" applyProtection="0">
      <alignment vertical="bottom"/>
    </xf>
    <xf numFmtId="1" fontId="13" fillId="2" borderId="41" applyNumberFormat="1" applyFont="1" applyFill="1" applyBorder="1" applyAlignment="1" applyProtection="0">
      <alignment vertical="bottom"/>
    </xf>
    <xf numFmtId="0" fontId="0" fillId="2" borderId="41" applyNumberFormat="0" applyFont="1" applyFill="1" applyBorder="1" applyAlignment="1" applyProtection="0">
      <alignment vertical="bottom"/>
    </xf>
    <xf numFmtId="0" fontId="0" fillId="2" borderId="42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7" fillId="2" borderId="1" applyNumberFormat="1" applyFont="1" applyFill="1" applyBorder="1" applyAlignment="1" applyProtection="0">
      <alignment horizontal="left" vertical="bottom"/>
    </xf>
    <xf numFmtId="61" fontId="0" fillId="2" borderId="2" applyNumberFormat="1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horizontal="left" vertical="bottom"/>
    </xf>
    <xf numFmtId="61" fontId="18" fillId="2" borderId="2" applyNumberFormat="1" applyFont="1" applyFill="1" applyBorder="1" applyAlignment="1" applyProtection="0">
      <alignment horizontal="left" vertical="bottom"/>
    </xf>
    <xf numFmtId="49" fontId="19" fillId="2" borderId="2" applyNumberFormat="1" applyFont="1" applyFill="1" applyBorder="1" applyAlignment="1" applyProtection="0">
      <alignment horizontal="left" vertical="bottom"/>
    </xf>
    <xf numFmtId="61" fontId="15" fillId="2" borderId="2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10" fillId="2" borderId="5" applyNumberFormat="1" applyFont="1" applyFill="1" applyBorder="1" applyAlignment="1" applyProtection="0">
      <alignment horizontal="left" vertical="bottom"/>
    </xf>
    <xf numFmtId="0" fontId="0" fillId="2" borderId="6" applyNumberFormat="0" applyFont="1" applyFill="1" applyBorder="1" applyAlignment="1" applyProtection="0">
      <alignment vertical="bottom"/>
    </xf>
    <xf numFmtId="49" fontId="7" fillId="2" borderId="6" applyNumberFormat="1" applyFont="1" applyFill="1" applyBorder="1" applyAlignment="1" applyProtection="0">
      <alignment horizontal="right" vertical="bottom"/>
    </xf>
    <xf numFmtId="61" fontId="20" fillId="2" borderId="6" applyNumberFormat="1" applyFont="1" applyFill="1" applyBorder="1" applyAlignment="1" applyProtection="0">
      <alignment horizontal="center" vertical="bottom"/>
    </xf>
    <xf numFmtId="61" fontId="20" fillId="2" borderId="6" applyNumberFormat="1" applyFont="1" applyFill="1" applyBorder="1" applyAlignment="1" applyProtection="0">
      <alignment vertical="bottom"/>
    </xf>
    <xf numFmtId="61" fontId="21" fillId="2" borderId="7" applyNumberFormat="1" applyFont="1" applyFill="1" applyBorder="1" applyAlignment="1" applyProtection="0">
      <alignment horizontal="center" vertical="bottom"/>
    </xf>
    <xf numFmtId="59" fontId="20" fillId="2" borderId="7" applyNumberFormat="1" applyFont="1" applyFill="1" applyBorder="1" applyAlignment="1" applyProtection="0">
      <alignment vertical="bottom"/>
    </xf>
    <xf numFmtId="61" fontId="20" fillId="2" borderId="7" applyNumberFormat="1" applyFont="1" applyFill="1" applyBorder="1" applyAlignment="1" applyProtection="0">
      <alignment vertical="bottom"/>
    </xf>
    <xf numFmtId="0" fontId="0" fillId="2" borderId="43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22" fillId="2" borderId="12" applyNumberFormat="1" applyFont="1" applyFill="1" applyBorder="1" applyAlignment="1" applyProtection="0">
      <alignment horizontal="center" vertical="bottom"/>
    </xf>
    <xf numFmtId="49" fontId="22" fillId="2" borderId="44" applyNumberFormat="1" applyFont="1" applyFill="1" applyBorder="1" applyAlignment="1" applyProtection="0">
      <alignment horizontal="center" vertical="bottom"/>
    </xf>
    <xf numFmtId="61" fontId="22" fillId="2" borderId="45" applyNumberFormat="1" applyFont="1" applyFill="1" applyBorder="1" applyAlignment="1" applyProtection="0">
      <alignment horizontal="center" vertical="bottom"/>
    </xf>
    <xf numFmtId="0" fontId="0" fillId="2" borderId="46" applyNumberFormat="0" applyFont="1" applyFill="1" applyBorder="1" applyAlignment="1" applyProtection="0">
      <alignment vertical="bottom"/>
    </xf>
    <xf numFmtId="49" fontId="22" fillId="2" borderId="26" applyNumberFormat="1" applyFont="1" applyFill="1" applyBorder="1" applyAlignment="1" applyProtection="0">
      <alignment horizontal="center" vertical="bottom"/>
    </xf>
    <xf numFmtId="49" fontId="22" fillId="2" borderId="47" applyNumberFormat="1" applyFont="1" applyFill="1" applyBorder="1" applyAlignment="1" applyProtection="0">
      <alignment horizontal="center" vertical="bottom"/>
    </xf>
    <xf numFmtId="61" fontId="22" fillId="2" borderId="47" applyNumberFormat="1" applyFont="1" applyFill="1" applyBorder="1" applyAlignment="1" applyProtection="0">
      <alignment vertical="bottom"/>
    </xf>
    <xf numFmtId="61" fontId="22" fillId="2" borderId="47" applyNumberFormat="1" applyFont="1" applyFill="1" applyBorder="1" applyAlignment="1" applyProtection="0">
      <alignment horizontal="center" vertical="bottom"/>
    </xf>
    <xf numFmtId="63" fontId="22" fillId="2" borderId="47" applyNumberFormat="1" applyFont="1" applyFill="1" applyBorder="1" applyAlignment="1" applyProtection="0">
      <alignment vertical="bottom"/>
    </xf>
    <xf numFmtId="9" fontId="22" fillId="2" borderId="47" applyNumberFormat="1" applyFont="1" applyFill="1" applyBorder="1" applyAlignment="1" applyProtection="0">
      <alignment horizontal="center" vertical="bottom"/>
    </xf>
    <xf numFmtId="63" fontId="22" fillId="2" borderId="30" applyNumberFormat="1" applyFont="1" applyFill="1" applyBorder="1" applyAlignment="1" applyProtection="0">
      <alignment vertical="bottom"/>
    </xf>
    <xf numFmtId="61" fontId="22" fillId="2" borderId="30" applyNumberFormat="1" applyFont="1" applyFill="1" applyBorder="1" applyAlignment="1" applyProtection="0">
      <alignment vertical="bottom"/>
    </xf>
    <xf numFmtId="49" fontId="22" fillId="2" borderId="30" applyNumberFormat="1" applyFont="1" applyFill="1" applyBorder="1" applyAlignment="1" applyProtection="0">
      <alignment horizontal="center" vertical="bottom"/>
    </xf>
    <xf numFmtId="49" fontId="22" fillId="2" borderId="30" applyNumberFormat="1" applyFont="1" applyFill="1" applyBorder="1" applyAlignment="1" applyProtection="0">
      <alignment vertical="bottom"/>
    </xf>
    <xf numFmtId="63" fontId="10" fillId="2" borderId="12" applyNumberFormat="1" applyFont="1" applyFill="1" applyBorder="1" applyAlignment="1" applyProtection="0">
      <alignment vertical="bottom"/>
    </xf>
    <xf numFmtId="49" fontId="10" fillId="2" borderId="12" applyNumberFormat="1" applyFont="1" applyFill="1" applyBorder="1" applyAlignment="1" applyProtection="0">
      <alignment vertical="bottom"/>
    </xf>
    <xf numFmtId="60" fontId="10" fillId="2" borderId="12" applyNumberFormat="1" applyFont="1" applyFill="1" applyBorder="1" applyAlignment="1" applyProtection="0">
      <alignment horizontal="right" vertical="bottom"/>
    </xf>
    <xf numFmtId="60" fontId="10" fillId="2" borderId="12" applyNumberFormat="1" applyFont="1" applyFill="1" applyBorder="1" applyAlignment="1" applyProtection="0">
      <alignment vertical="bottom"/>
    </xf>
    <xf numFmtId="10" fontId="10" fillId="2" borderId="12" applyNumberFormat="1" applyFont="1" applyFill="1" applyBorder="1" applyAlignment="1" applyProtection="0">
      <alignment vertical="bottom"/>
    </xf>
    <xf numFmtId="0" fontId="10" fillId="2" borderId="12" applyNumberFormat="0" applyFont="1" applyFill="1" applyBorder="1" applyAlignment="1" applyProtection="0">
      <alignment vertical="bottom"/>
    </xf>
    <xf numFmtId="61" fontId="10" fillId="2" borderId="12" applyNumberFormat="1" applyFont="1" applyFill="1" applyBorder="1" applyAlignment="1" applyProtection="0">
      <alignment vertical="bottom"/>
    </xf>
    <xf numFmtId="60" fontId="0" fillId="2" borderId="46" applyNumberFormat="1" applyFont="1" applyFill="1" applyBorder="1" applyAlignment="1" applyProtection="0">
      <alignment vertical="bottom"/>
    </xf>
    <xf numFmtId="61" fontId="22" fillId="2" borderId="12" applyNumberFormat="1" applyFont="1" applyFill="1" applyBorder="1" applyAlignment="1" applyProtection="0">
      <alignment vertical="bottom"/>
    </xf>
    <xf numFmtId="63" fontId="10" fillId="2" borderId="26" applyNumberFormat="1" applyFont="1" applyFill="1" applyBorder="1" applyAlignment="1" applyProtection="0">
      <alignment vertical="bottom"/>
    </xf>
    <xf numFmtId="49" fontId="23" fillId="2" borderId="26" applyNumberFormat="1" applyFont="1" applyFill="1" applyBorder="1" applyAlignment="1" applyProtection="0">
      <alignment horizontal="center" vertical="bottom"/>
    </xf>
    <xf numFmtId="60" fontId="10" fillId="2" borderId="26" applyNumberFormat="1" applyFont="1" applyFill="1" applyBorder="1" applyAlignment="1" applyProtection="0">
      <alignment vertical="bottom"/>
    </xf>
    <xf numFmtId="0" fontId="10" fillId="2" borderId="26" applyNumberFormat="0" applyFont="1" applyFill="1" applyBorder="1" applyAlignment="1" applyProtection="0">
      <alignment vertical="bottom"/>
    </xf>
    <xf numFmtId="10" fontId="10" fillId="2" borderId="26" applyNumberFormat="1" applyFont="1" applyFill="1" applyBorder="1" applyAlignment="1" applyProtection="0">
      <alignment vertical="bottom"/>
    </xf>
    <xf numFmtId="63" fontId="0" fillId="2" borderId="30" applyNumberFormat="1" applyFont="1" applyFill="1" applyBorder="1" applyAlignment="1" applyProtection="0">
      <alignment vertical="bottom"/>
    </xf>
    <xf numFmtId="61" fontId="0" fillId="2" borderId="30" applyNumberFormat="1" applyFont="1" applyFill="1" applyBorder="1" applyAlignment="1" applyProtection="0">
      <alignment vertical="bottom"/>
    </xf>
    <xf numFmtId="62" fontId="10" fillId="2" borderId="30" applyNumberFormat="1" applyFont="1" applyFill="1" applyBorder="1" applyAlignment="1" applyProtection="0">
      <alignment vertical="bottom"/>
    </xf>
    <xf numFmtId="63" fontId="21" fillId="2" borderId="48" applyNumberFormat="1" applyFont="1" applyFill="1" applyBorder="1" applyAlignment="1" applyProtection="0">
      <alignment vertical="bottom"/>
    </xf>
    <xf numFmtId="61" fontId="21" fillId="2" borderId="15" applyNumberFormat="1" applyFont="1" applyFill="1" applyBorder="1" applyAlignment="1" applyProtection="0">
      <alignment vertical="bottom"/>
    </xf>
    <xf numFmtId="10" fontId="21" fillId="2" borderId="15" applyNumberFormat="1" applyFont="1" applyFill="1" applyBorder="1" applyAlignment="1" applyProtection="0">
      <alignment vertical="bottom"/>
    </xf>
    <xf numFmtId="63" fontId="21" fillId="2" borderId="9" applyNumberFormat="1" applyFont="1" applyFill="1" applyBorder="1" applyAlignment="1" applyProtection="0">
      <alignment vertical="bottom"/>
    </xf>
    <xf numFmtId="61" fontId="24" fillId="2" borderId="7" applyNumberFormat="1" applyFont="1" applyFill="1" applyBorder="1" applyAlignment="1" applyProtection="0">
      <alignment vertical="bottom"/>
    </xf>
    <xf numFmtId="61" fontId="21" fillId="2" borderId="7" applyNumberFormat="1" applyFont="1" applyFill="1" applyBorder="1" applyAlignment="1" applyProtection="0">
      <alignment vertical="bottom"/>
    </xf>
    <xf numFmtId="63" fontId="25" fillId="2" borderId="9" applyNumberFormat="1" applyFont="1" applyFill="1" applyBorder="1" applyAlignment="1" applyProtection="0">
      <alignment vertical="bottom"/>
    </xf>
    <xf numFmtId="61" fontId="25" fillId="2" borderId="7" applyNumberFormat="1" applyFont="1" applyFill="1" applyBorder="1" applyAlignment="1" applyProtection="0">
      <alignment vertical="bottom"/>
    </xf>
    <xf numFmtId="63" fontId="24" fillId="2" borderId="40" applyNumberFormat="1" applyFont="1" applyFill="1" applyBorder="1" applyAlignment="1" applyProtection="0">
      <alignment vertical="bottom"/>
    </xf>
    <xf numFmtId="61" fontId="26" fillId="2" borderId="41" applyNumberFormat="1" applyFont="1" applyFill="1" applyBorder="1" applyAlignment="1" applyProtection="0">
      <alignment vertical="bottom"/>
    </xf>
    <xf numFmtId="61" fontId="24" fillId="2" borderId="4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0000ff"/>
      <rgbColor rgb="ff339933"/>
      <rgbColor rgb="ff3366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57"/>
  <sheetViews>
    <sheetView workbookViewId="0" showGridLines="0" defaultGridColor="1"/>
  </sheetViews>
  <sheetFormatPr defaultColWidth="9.8" defaultRowHeight="11.65" customHeight="1" outlineLevelRow="0" outlineLevelCol="0"/>
  <cols>
    <col min="1" max="1" width="5.8125" style="1" customWidth="1"/>
    <col min="2" max="2" width="3.8125" style="1" customWidth="1"/>
    <col min="3" max="3" width="28.6016" style="1" customWidth="1"/>
    <col min="4" max="4" width="21" style="1" customWidth="1"/>
    <col min="5" max="5" width="16.8125" style="1" customWidth="1"/>
    <col min="6" max="6" width="6.42188" style="1" customWidth="1"/>
    <col min="7" max="7" width="3.60156" style="1" customWidth="1"/>
    <col min="8" max="8" width="19" style="1" customWidth="1"/>
    <col min="9" max="9" width="12.4219" style="1" customWidth="1"/>
    <col min="10" max="10" width="14" style="1" customWidth="1"/>
    <col min="11" max="11" width="3.8125" style="1" customWidth="1"/>
    <col min="12" max="12" width="2.8125" style="1" customWidth="1"/>
    <col min="13" max="13" width="3.8125" style="1" customWidth="1"/>
    <col min="14" max="14" width="22.4219" style="1" customWidth="1"/>
    <col min="15" max="15" width="6.42188" style="1" customWidth="1"/>
    <col min="16" max="16" width="9.8125" style="1" customWidth="1"/>
    <col min="17" max="16384" width="9.8125" style="1" customWidth="1"/>
  </cols>
  <sheetData>
    <row r="1" ht="19" customHeight="1">
      <c r="A1" t="s" s="2">
        <v>0</v>
      </c>
      <c r="B1" s="3"/>
      <c r="C1" s="3"/>
      <c r="D1" s="3"/>
      <c r="E1" s="3"/>
      <c r="F1" s="3"/>
      <c r="G1" t="s" s="4">
        <v>1</v>
      </c>
      <c r="H1" s="3"/>
      <c r="I1" s="5"/>
      <c r="J1" t="s" s="6">
        <v>2</v>
      </c>
      <c r="K1" s="3"/>
      <c r="L1" s="5"/>
      <c r="M1" s="5"/>
      <c r="N1" t="s" s="7">
        <v>3</v>
      </c>
      <c r="O1" s="8"/>
      <c r="P1" s="9"/>
    </row>
    <row r="2" ht="8" customHeight="1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  <c r="P2" s="13"/>
    </row>
    <row r="3" ht="13.55" customHeight="1">
      <c r="A3" t="s" s="14">
        <v>4</v>
      </c>
      <c r="B3" s="15"/>
      <c r="C3" s="15"/>
      <c r="D3" t="s" s="16">
        <v>5</v>
      </c>
      <c r="E3" s="17"/>
      <c r="F3" s="18"/>
      <c r="G3" s="18"/>
      <c r="H3" t="s" s="19">
        <v>6</v>
      </c>
      <c r="I3" s="18"/>
      <c r="J3" s="18"/>
      <c r="K3" t="s" s="19">
        <v>7</v>
      </c>
      <c r="L3" s="15"/>
      <c r="M3" s="15"/>
      <c r="N3" s="15"/>
      <c r="O3" s="15"/>
      <c r="P3" s="20"/>
    </row>
    <row r="4" ht="8" customHeight="1">
      <c r="A4" s="21"/>
      <c r="B4" s="15"/>
      <c r="C4" s="15"/>
      <c r="D4" s="22"/>
      <c r="E4" s="12"/>
      <c r="F4" s="15"/>
      <c r="G4" s="15"/>
      <c r="H4" s="15"/>
      <c r="I4" s="15">
        <v>11</v>
      </c>
      <c r="J4" s="15"/>
      <c r="K4" s="23"/>
      <c r="L4" s="15"/>
      <c r="M4" s="15"/>
      <c r="N4" s="15"/>
      <c r="O4" s="15"/>
      <c r="P4" s="20"/>
    </row>
    <row r="5" ht="13.55" customHeight="1">
      <c r="A5" s="21"/>
      <c r="B5" s="18"/>
      <c r="C5" s="18"/>
      <c r="D5" s="22"/>
      <c r="E5" s="17"/>
      <c r="F5" s="18"/>
      <c r="G5" s="18"/>
      <c r="H5" s="15"/>
      <c r="I5" s="15"/>
      <c r="J5" s="24"/>
      <c r="K5" s="25"/>
      <c r="L5" t="s" s="26">
        <v>8</v>
      </c>
      <c r="M5" s="15"/>
      <c r="N5" s="15"/>
      <c r="O5" s="15"/>
      <c r="P5" s="20"/>
    </row>
    <row r="6" ht="13.55" customHeight="1">
      <c r="A6" s="21"/>
      <c r="B6" s="18"/>
      <c r="C6" s="18"/>
      <c r="D6" s="22"/>
      <c r="E6" s="17"/>
      <c r="F6" s="18"/>
      <c r="G6" s="18"/>
      <c r="H6" s="15"/>
      <c r="I6" s="15"/>
      <c r="J6" s="15"/>
      <c r="K6" s="27"/>
      <c r="L6" s="28"/>
      <c r="M6" s="15"/>
      <c r="N6" s="15"/>
      <c r="O6" s="15"/>
      <c r="P6" s="20"/>
    </row>
    <row r="7" ht="13.55" customHeight="1">
      <c r="A7" s="21"/>
      <c r="B7" s="18"/>
      <c r="C7" s="18"/>
      <c r="D7" s="22"/>
      <c r="E7" s="17"/>
      <c r="F7" s="15"/>
      <c r="G7" s="15"/>
      <c r="H7" t="s" s="19">
        <v>9</v>
      </c>
      <c r="I7" s="29" cm="1">
        <f t="array" ref="I7">TODAY()</f>
        <v>46268</v>
      </c>
      <c r="J7" s="30"/>
      <c r="K7" s="25"/>
      <c r="L7" t="s" s="26">
        <v>10</v>
      </c>
      <c r="M7" s="15"/>
      <c r="N7" s="15"/>
      <c r="O7" s="15"/>
      <c r="P7" s="20"/>
    </row>
    <row r="8" ht="8" customHeight="1">
      <c r="A8" s="21"/>
      <c r="B8" s="15"/>
      <c r="C8" s="18"/>
      <c r="D8" s="22"/>
      <c r="E8" s="18"/>
      <c r="F8" s="15"/>
      <c r="G8" s="15"/>
      <c r="H8" s="15"/>
      <c r="I8" s="15"/>
      <c r="J8" s="15"/>
      <c r="K8" s="31"/>
      <c r="L8" s="15"/>
      <c r="M8" s="15"/>
      <c r="N8" s="15"/>
      <c r="O8" s="15"/>
      <c r="P8" s="20"/>
    </row>
    <row r="9" ht="15" customHeight="1">
      <c r="A9" s="21"/>
      <c r="B9" s="15"/>
      <c r="C9" s="18"/>
      <c r="D9" s="22"/>
      <c r="E9" s="12"/>
      <c r="F9" s="15"/>
      <c r="G9" s="15"/>
      <c r="H9" s="15"/>
      <c r="I9" s="15"/>
      <c r="J9" s="15"/>
      <c r="K9" s="32"/>
      <c r="L9" s="15"/>
      <c r="M9" s="15"/>
      <c r="N9" s="15"/>
      <c r="O9" s="15"/>
      <c r="P9" s="20"/>
    </row>
    <row r="10" ht="13.55" customHeight="1">
      <c r="A10" t="s" s="14">
        <v>11</v>
      </c>
      <c r="B10" s="15"/>
      <c r="C10" s="15"/>
      <c r="D10" t="s" s="16">
        <v>12</v>
      </c>
      <c r="E10" s="18"/>
      <c r="F10" s="18"/>
      <c r="G10" s="18"/>
      <c r="H10" s="15"/>
      <c r="I10" s="15"/>
      <c r="J10" s="24"/>
      <c r="K10" s="25"/>
      <c r="L10" t="s" s="26">
        <v>13</v>
      </c>
      <c r="M10" s="15"/>
      <c r="N10" s="15"/>
      <c r="O10" s="15"/>
      <c r="P10" s="20"/>
    </row>
    <row r="11" ht="8" customHeight="1">
      <c r="A11" s="21"/>
      <c r="B11" s="15"/>
      <c r="C11" s="15"/>
      <c r="D11" s="15"/>
      <c r="E11" s="15"/>
      <c r="F11" s="15"/>
      <c r="G11" s="15"/>
      <c r="H11" s="15"/>
      <c r="I11" s="15"/>
      <c r="J11" s="15"/>
      <c r="K11" s="27"/>
      <c r="L11" s="15"/>
      <c r="M11" s="15"/>
      <c r="N11" s="15"/>
      <c r="O11" s="15"/>
      <c r="P11" s="20"/>
    </row>
    <row r="12" ht="13.55" customHeight="1">
      <c r="A12" s="21"/>
      <c r="B12" s="18"/>
      <c r="C12" s="18"/>
      <c r="D12" s="15"/>
      <c r="E12" s="18"/>
      <c r="F12" s="18"/>
      <c r="G12" s="18"/>
      <c r="H12" t="s" s="19">
        <v>14</v>
      </c>
      <c r="I12" s="15"/>
      <c r="J12" s="24"/>
      <c r="K12" s="25"/>
      <c r="L12" s="33"/>
      <c r="M12" s="18"/>
      <c r="N12" s="18"/>
      <c r="O12" s="15"/>
      <c r="P12" s="20"/>
    </row>
    <row r="13" ht="8" customHeight="1">
      <c r="A13" s="21"/>
      <c r="B13" s="15"/>
      <c r="C13" s="15"/>
      <c r="D13" s="15"/>
      <c r="E13" s="15"/>
      <c r="F13" s="15"/>
      <c r="G13" s="15"/>
      <c r="H13" s="15"/>
      <c r="I13" s="15"/>
      <c r="J13" s="15"/>
      <c r="K13" s="27"/>
      <c r="L13" s="15"/>
      <c r="M13" s="15"/>
      <c r="N13" s="15"/>
      <c r="O13" s="15"/>
      <c r="P13" s="20"/>
    </row>
    <row r="14" ht="13.55" customHeight="1">
      <c r="A14" s="21"/>
      <c r="B14" s="18"/>
      <c r="C14" s="18"/>
      <c r="D14" s="15"/>
      <c r="E14" s="18"/>
      <c r="F14" s="15"/>
      <c r="G14" s="15"/>
      <c r="H14" t="s" s="19">
        <v>15</v>
      </c>
      <c r="I14" s="15"/>
      <c r="J14" s="30"/>
      <c r="K14" s="25"/>
      <c r="L14" s="33"/>
      <c r="M14" s="18"/>
      <c r="N14" s="18"/>
      <c r="O14" s="15"/>
      <c r="P14" s="20"/>
    </row>
    <row r="15" ht="13.55" customHeight="1">
      <c r="A15" s="21"/>
      <c r="B15" s="18"/>
      <c r="C15" s="18"/>
      <c r="D15" s="15"/>
      <c r="E15" s="18"/>
      <c r="F15" s="18"/>
      <c r="G15" s="18"/>
      <c r="H15" s="15"/>
      <c r="I15" s="15"/>
      <c r="J15" s="15"/>
      <c r="K15" s="34"/>
      <c r="L15" s="15"/>
      <c r="M15" s="15"/>
      <c r="N15" s="15"/>
      <c r="O15" s="15"/>
      <c r="P15" s="20"/>
    </row>
    <row r="16" ht="15.5" customHeight="1">
      <c r="A16" t="s" s="35">
        <v>16</v>
      </c>
      <c r="B16" s="36"/>
      <c r="C16" s="36"/>
      <c r="D16" s="37"/>
      <c r="E16" s="38"/>
      <c r="F16" s="38"/>
      <c r="G16" s="36"/>
      <c r="H16" t="s" s="39">
        <v>17</v>
      </c>
      <c r="I16" s="36"/>
      <c r="J16" s="38"/>
      <c r="K16" s="36"/>
      <c r="L16" s="36"/>
      <c r="M16" s="36"/>
      <c r="N16" s="36"/>
      <c r="O16" s="12"/>
      <c r="P16" s="13"/>
    </row>
    <row r="17" ht="8" customHeight="1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3"/>
    </row>
    <row r="18" ht="18.5" customHeight="1">
      <c r="A18" t="s" s="40">
        <v>18</v>
      </c>
      <c r="B18" s="12"/>
      <c r="C18" s="12"/>
      <c r="D18" s="12"/>
      <c r="E18" s="12"/>
      <c r="F18" s="12"/>
      <c r="G18" t="s" s="41">
        <v>19</v>
      </c>
      <c r="H18" s="15"/>
      <c r="I18" s="15"/>
      <c r="J18" s="15"/>
      <c r="K18" s="15"/>
      <c r="L18" s="15"/>
      <c r="M18" s="15"/>
      <c r="N18" s="15"/>
      <c r="O18" s="12"/>
      <c r="P18" s="13"/>
    </row>
    <row r="19" ht="11.1" customHeight="1">
      <c r="A19" t="s" s="42">
        <v>20</v>
      </c>
      <c r="B19" s="12"/>
      <c r="C19" s="12"/>
      <c r="D19" s="12"/>
      <c r="E19" s="12"/>
      <c r="F19" s="43"/>
      <c r="G19" t="s" s="41">
        <v>21</v>
      </c>
      <c r="H19" s="12"/>
      <c r="I19" s="12"/>
      <c r="J19" s="12"/>
      <c r="K19" s="12"/>
      <c r="L19" s="12"/>
      <c r="M19" s="12"/>
      <c r="N19" s="12"/>
      <c r="O19" s="12"/>
      <c r="P19" s="13"/>
    </row>
    <row r="20" ht="11.1" customHeight="1">
      <c r="A20" t="s" s="42">
        <v>22</v>
      </c>
      <c r="B20" s="12"/>
      <c r="C20" s="12"/>
      <c r="D20" s="12"/>
      <c r="E20" s="12"/>
      <c r="F20" s="43"/>
      <c r="G20" t="s" s="41">
        <v>23</v>
      </c>
      <c r="H20" s="12"/>
      <c r="I20" s="12"/>
      <c r="J20" s="12"/>
      <c r="K20" s="12"/>
      <c r="L20" s="12"/>
      <c r="M20" s="12"/>
      <c r="N20" s="12"/>
      <c r="O20" s="12"/>
      <c r="P20" s="13"/>
    </row>
    <row r="21" ht="11.1" customHeight="1">
      <c r="A21" t="s" s="42">
        <v>14</v>
      </c>
      <c r="B21" s="12"/>
      <c r="C21" s="12"/>
      <c r="D21" s="12"/>
      <c r="E21" s="12"/>
      <c r="F21" s="43"/>
      <c r="G21" t="s" s="41">
        <v>24</v>
      </c>
      <c r="H21" s="12"/>
      <c r="I21" s="12"/>
      <c r="J21" s="12"/>
      <c r="K21" s="12"/>
      <c r="L21" s="12"/>
      <c r="M21" s="12"/>
      <c r="N21" s="12"/>
      <c r="O21" s="12"/>
      <c r="P21" s="13"/>
    </row>
    <row r="22" ht="11.1" customHeight="1">
      <c r="A22" t="s" s="42">
        <v>14</v>
      </c>
      <c r="B22" s="12"/>
      <c r="C22" s="12"/>
      <c r="D22" s="12"/>
      <c r="E22" s="12"/>
      <c r="F22" s="43"/>
      <c r="G22" t="s" s="41">
        <v>25</v>
      </c>
      <c r="H22" s="12"/>
      <c r="I22" s="12"/>
      <c r="J22" s="12"/>
      <c r="K22" s="12"/>
      <c r="L22" s="12"/>
      <c r="M22" s="12"/>
      <c r="N22" s="12"/>
      <c r="O22" s="12"/>
      <c r="P22" s="13"/>
    </row>
    <row r="23" ht="11.1" customHeight="1">
      <c r="A23" s="44"/>
      <c r="B23" s="12"/>
      <c r="C23" s="12"/>
      <c r="D23" s="12"/>
      <c r="E23" s="12"/>
      <c r="F23" s="43"/>
      <c r="G23" s="12"/>
      <c r="H23" s="12"/>
      <c r="I23" s="12"/>
      <c r="J23" s="12"/>
      <c r="K23" s="12"/>
      <c r="L23" s="12"/>
      <c r="M23" s="12"/>
      <c r="N23" s="12"/>
      <c r="O23" s="12"/>
      <c r="P23" s="13"/>
    </row>
    <row r="24" ht="11.1" customHeight="1">
      <c r="A24" t="s" s="42">
        <v>26</v>
      </c>
      <c r="B24" s="12"/>
      <c r="C24" s="12"/>
      <c r="D24" t="s" s="45">
        <v>27</v>
      </c>
      <c r="E24" s="46">
        <v>0</v>
      </c>
      <c r="F24" s="43"/>
      <c r="G24" s="12"/>
      <c r="H24" s="12"/>
      <c r="I24" s="12"/>
      <c r="J24" s="12"/>
      <c r="K24" s="12"/>
      <c r="L24" s="12"/>
      <c r="M24" s="12"/>
      <c r="N24" s="12"/>
      <c r="O24" s="12"/>
      <c r="P24" s="13"/>
    </row>
    <row r="25" ht="11.1" customHeight="1">
      <c r="A25" t="s" s="42">
        <v>28</v>
      </c>
      <c r="B25" s="12"/>
      <c r="C25" s="12"/>
      <c r="D25" t="s" s="45">
        <v>27</v>
      </c>
      <c r="E25" s="47" cm="1">
        <f t="array" ref="E25">D50</f>
        <v>0</v>
      </c>
      <c r="F25" s="43"/>
      <c r="G25" t="s" s="41">
        <v>29</v>
      </c>
      <c r="H25" s="12"/>
      <c r="I25" s="12"/>
      <c r="J25" s="12"/>
      <c r="K25" s="12"/>
      <c r="L25" s="12"/>
      <c r="M25" s="12"/>
      <c r="N25" s="12"/>
      <c r="O25" s="12"/>
      <c r="P25" s="13"/>
    </row>
    <row r="26" ht="11.1" customHeight="1">
      <c r="A26" t="s" s="42">
        <v>30</v>
      </c>
      <c r="B26" s="12"/>
      <c r="C26" s="12"/>
      <c r="D26" t="s" s="45">
        <v>31</v>
      </c>
      <c r="E26" s="47" cm="1">
        <f t="array" ref="E26">('G-703 Total Hard Cost '!C35)</f>
        <v>0</v>
      </c>
      <c r="F26" s="43"/>
      <c r="G26" s="12"/>
      <c r="H26" s="12"/>
      <c r="I26" s="12"/>
      <c r="J26" s="12"/>
      <c r="K26" s="12"/>
      <c r="L26" s="12"/>
      <c r="M26" s="12"/>
      <c r="N26" s="12"/>
      <c r="O26" s="12"/>
      <c r="P26" s="13"/>
    </row>
    <row r="27" ht="10.9" customHeight="1">
      <c r="A27" t="s" s="42">
        <v>32</v>
      </c>
      <c r="B27" s="12"/>
      <c r="C27" s="12"/>
      <c r="D27" t="s" s="45">
        <v>31</v>
      </c>
      <c r="E27" s="47" cm="1">
        <f t="array" ref="E27">'G-703 Total Hard Cost '!G35</f>
        <v>0</v>
      </c>
      <c r="F27" s="43"/>
      <c r="G27" s="12"/>
      <c r="H27" s="12"/>
      <c r="I27" s="12"/>
      <c r="J27" s="12"/>
      <c r="K27" s="12"/>
      <c r="L27" s="12"/>
      <c r="M27" s="12"/>
      <c r="N27" s="12"/>
      <c r="O27" s="12"/>
      <c r="P27" s="13"/>
    </row>
    <row r="28" ht="13.15" customHeight="1">
      <c r="A28" t="s" s="42">
        <v>33</v>
      </c>
      <c r="B28" s="12"/>
      <c r="C28" s="12"/>
      <c r="D28" s="48"/>
      <c r="E28" s="49"/>
      <c r="F28" s="43"/>
      <c r="G28" t="s" s="41">
        <v>34</v>
      </c>
      <c r="H28" s="50"/>
      <c r="I28" s="51"/>
      <c r="J28" s="51"/>
      <c r="K28" t="s" s="41">
        <v>35</v>
      </c>
      <c r="L28" s="51"/>
      <c r="M28" s="51"/>
      <c r="N28" s="52"/>
      <c r="O28" s="12"/>
      <c r="P28" s="13"/>
    </row>
    <row r="29" ht="11.1" customHeight="1">
      <c r="A29" t="s" s="42">
        <v>36</v>
      </c>
      <c r="B29" s="12"/>
      <c r="C29" s="12"/>
      <c r="D29" s="48"/>
      <c r="E29" s="48"/>
      <c r="F29" s="43"/>
      <c r="G29" s="12"/>
      <c r="H29" s="53"/>
      <c r="I29" s="53"/>
      <c r="J29" s="53"/>
      <c r="K29" s="12"/>
      <c r="L29" s="53"/>
      <c r="M29" s="53"/>
      <c r="N29" s="53"/>
      <c r="O29" s="12"/>
      <c r="P29" s="13"/>
    </row>
    <row r="30" ht="11.1" customHeight="1">
      <c r="A30" t="s" s="54">
        <v>37</v>
      </c>
      <c r="B30" s="51">
        <v>5</v>
      </c>
      <c r="C30" t="s" s="41">
        <v>38</v>
      </c>
      <c r="D30" s="46" cm="1">
        <f t="array" ref="D30">'G-703 Total Hard Cost '!J35</f>
        <v>0</v>
      </c>
      <c r="E30" s="48"/>
      <c r="F30" s="43"/>
      <c r="G30" t="s" s="41">
        <v>39</v>
      </c>
      <c r="H30" s="12"/>
      <c r="I30" s="12"/>
      <c r="J30" t="s" s="45">
        <v>40</v>
      </c>
      <c r="K30" s="12"/>
      <c r="L30" s="12"/>
      <c r="M30" s="12"/>
      <c r="N30" s="12"/>
      <c r="O30" s="12"/>
      <c r="P30" s="13"/>
    </row>
    <row r="31" ht="11.1" customHeight="1">
      <c r="A31" s="44"/>
      <c r="B31" t="s" s="55">
        <v>41</v>
      </c>
      <c r="C31" s="12"/>
      <c r="D31" s="49"/>
      <c r="E31" s="48"/>
      <c r="F31" s="43"/>
      <c r="G31" t="s" s="41">
        <v>42</v>
      </c>
      <c r="H31" s="12"/>
      <c r="I31" s="12"/>
      <c r="J31" t="s" s="41">
        <v>43</v>
      </c>
      <c r="K31" s="12"/>
      <c r="L31" s="12"/>
      <c r="M31" s="12"/>
      <c r="N31" t="s" s="41">
        <v>14</v>
      </c>
      <c r="O31" s="12"/>
      <c r="P31" s="13"/>
    </row>
    <row r="32" ht="11.1" customHeight="1">
      <c r="A32" t="s" s="54">
        <v>44</v>
      </c>
      <c r="B32" s="51"/>
      <c r="C32" t="s" s="56">
        <v>45</v>
      </c>
      <c r="D32" s="57"/>
      <c r="E32" s="48"/>
      <c r="F32" s="43"/>
      <c r="G32" t="s" s="41">
        <v>46</v>
      </c>
      <c r="H32" s="12"/>
      <c r="I32" s="12"/>
      <c r="J32" s="12"/>
      <c r="K32" s="12"/>
      <c r="L32" s="12"/>
      <c r="M32" s="12"/>
      <c r="N32" s="12"/>
      <c r="O32" s="12"/>
      <c r="P32" s="13"/>
    </row>
    <row r="33" ht="11.1" customHeight="1">
      <c r="A33" s="44"/>
      <c r="B33" t="s" s="55">
        <v>47</v>
      </c>
      <c r="C33" s="12"/>
      <c r="D33" s="49"/>
      <c r="E33" s="48"/>
      <c r="F33" s="43"/>
      <c r="G33" t="s" s="41">
        <v>48</v>
      </c>
      <c r="H33" s="12"/>
      <c r="I33" s="12"/>
      <c r="J33" s="12"/>
      <c r="K33" s="12"/>
      <c r="L33" s="12"/>
      <c r="M33" s="12"/>
      <c r="N33" s="12"/>
      <c r="O33" s="12"/>
      <c r="P33" s="13"/>
    </row>
    <row r="34" ht="11.1" customHeight="1">
      <c r="A34" t="s" s="42">
        <v>49</v>
      </c>
      <c r="B34" s="12"/>
      <c r="C34" s="12"/>
      <c r="D34" s="48"/>
      <c r="E34" s="48"/>
      <c r="F34" s="43"/>
      <c r="G34" s="58"/>
      <c r="H34" s="58"/>
      <c r="I34" s="58"/>
      <c r="J34" s="58"/>
      <c r="K34" s="58"/>
      <c r="L34" s="58"/>
      <c r="M34" s="58"/>
      <c r="N34" s="58"/>
      <c r="O34" s="12"/>
      <c r="P34" s="13"/>
    </row>
    <row r="35" ht="15.75" customHeight="1">
      <c r="A35" s="44"/>
      <c r="B35" t="s" s="41">
        <v>50</v>
      </c>
      <c r="C35" s="12"/>
      <c r="D35" t="s" s="45">
        <v>31</v>
      </c>
      <c r="E35" s="46" cm="1">
        <f t="array" ref="E35">D30</f>
        <v>0</v>
      </c>
      <c r="F35" s="43"/>
      <c r="G35" t="s" s="59">
        <v>51</v>
      </c>
      <c r="H35" s="60"/>
      <c r="I35" s="60"/>
      <c r="J35" s="60"/>
      <c r="K35" s="60"/>
      <c r="L35" s="60"/>
      <c r="M35" s="60"/>
      <c r="N35" s="60"/>
      <c r="O35" s="12"/>
      <c r="P35" s="13"/>
    </row>
    <row r="36" ht="11.1" customHeight="1">
      <c r="A36" t="s" s="42">
        <v>52</v>
      </c>
      <c r="B36" s="12"/>
      <c r="C36" s="12"/>
      <c r="D36" t="s" s="45">
        <v>31</v>
      </c>
      <c r="E36" s="47" cm="1">
        <f t="array" ref="E36">E27-E35</f>
        <v>0</v>
      </c>
      <c r="F36" s="43"/>
      <c r="G36" t="s" s="41">
        <v>53</v>
      </c>
      <c r="H36" s="12"/>
      <c r="I36" s="12"/>
      <c r="J36" s="12"/>
      <c r="K36" s="12"/>
      <c r="L36" s="12"/>
      <c r="M36" s="12"/>
      <c r="N36" s="12"/>
      <c r="O36" s="12"/>
      <c r="P36" s="13"/>
    </row>
    <row r="37" ht="11.1" customHeight="1">
      <c r="A37" s="44"/>
      <c r="B37" t="s" s="41">
        <v>54</v>
      </c>
      <c r="C37" s="12"/>
      <c r="D37" s="48"/>
      <c r="E37" s="61"/>
      <c r="F37" s="43"/>
      <c r="G37" t="s" s="41">
        <v>55</v>
      </c>
      <c r="H37" s="12"/>
      <c r="I37" s="12"/>
      <c r="J37" s="12"/>
      <c r="K37" s="12"/>
      <c r="L37" s="12"/>
      <c r="M37" s="12"/>
      <c r="N37" s="12"/>
      <c r="O37" s="12"/>
      <c r="P37" s="13"/>
    </row>
    <row r="38" ht="11.1" customHeight="1">
      <c r="A38" t="s" s="42">
        <v>56</v>
      </c>
      <c r="B38" s="12"/>
      <c r="C38" s="12"/>
      <c r="D38" s="48"/>
      <c r="E38" s="62"/>
      <c r="F38" s="43"/>
      <c r="G38" t="s" s="41">
        <v>57</v>
      </c>
      <c r="H38" s="12"/>
      <c r="I38" s="12"/>
      <c r="J38" s="12"/>
      <c r="K38" s="12"/>
      <c r="L38" s="12"/>
      <c r="M38" s="12"/>
      <c r="N38" s="12"/>
      <c r="O38" s="12"/>
      <c r="P38" s="13"/>
    </row>
    <row r="39" ht="11.1" customHeight="1">
      <c r="A39" t="s" s="42">
        <v>58</v>
      </c>
      <c r="B39" s="12"/>
      <c r="C39" s="12"/>
      <c r="D39" t="s" s="45">
        <v>31</v>
      </c>
      <c r="E39" s="46">
        <v>0</v>
      </c>
      <c r="F39" s="43"/>
      <c r="G39" t="s" s="41">
        <v>59</v>
      </c>
      <c r="H39" s="12"/>
      <c r="I39" s="12"/>
      <c r="J39" s="12"/>
      <c r="K39" s="12"/>
      <c r="L39" s="12"/>
      <c r="M39" s="12"/>
      <c r="N39" s="12"/>
      <c r="O39" s="12"/>
      <c r="P39" s="13"/>
    </row>
    <row r="40" ht="11.1" customHeight="1">
      <c r="A40" t="s" s="42">
        <v>60</v>
      </c>
      <c r="B40" s="12"/>
      <c r="C40" s="12"/>
      <c r="D40" t="s" s="45">
        <v>31</v>
      </c>
      <c r="E40" s="63" cm="1">
        <f t="array" ref="E40">E36-E39</f>
        <v>0</v>
      </c>
      <c r="F40" s="43"/>
      <c r="G40" t="s" s="41">
        <v>61</v>
      </c>
      <c r="H40" s="12"/>
      <c r="I40" s="12"/>
      <c r="J40" s="12"/>
      <c r="K40" s="12"/>
      <c r="L40" s="12"/>
      <c r="M40" s="12"/>
      <c r="N40" s="12"/>
      <c r="O40" s="12"/>
      <c r="P40" s="13"/>
    </row>
    <row r="41" ht="11.1" customHeight="1">
      <c r="A41" t="s" s="42">
        <v>62</v>
      </c>
      <c r="B41" s="12"/>
      <c r="C41" s="12"/>
      <c r="D41" t="s" s="45">
        <v>31</v>
      </c>
      <c r="E41" s="47" cm="1">
        <f t="array" ref="E41">E26-E36</f>
        <v>0</v>
      </c>
      <c r="F41" s="43"/>
      <c r="G41" s="12"/>
      <c r="H41" s="12"/>
      <c r="I41" s="12"/>
      <c r="J41" s="12"/>
      <c r="K41" s="12"/>
      <c r="L41" s="12"/>
      <c r="M41" s="12"/>
      <c r="N41" s="12"/>
      <c r="O41" s="12"/>
      <c r="P41" s="13"/>
    </row>
    <row r="42" ht="11.1" customHeight="1">
      <c r="A42" s="44"/>
      <c r="B42" t="s" s="41">
        <v>63</v>
      </c>
      <c r="C42" s="12"/>
      <c r="D42" s="48"/>
      <c r="E42" s="49"/>
      <c r="F42" s="43"/>
      <c r="G42" t="s" s="41">
        <v>64</v>
      </c>
      <c r="H42" s="12"/>
      <c r="I42" s="12"/>
      <c r="J42" s="57"/>
      <c r="K42" s="12"/>
      <c r="L42" s="12"/>
      <c r="M42" s="12"/>
      <c r="N42" s="12"/>
      <c r="O42" s="12"/>
      <c r="P42" s="13"/>
    </row>
    <row r="43" ht="11.1" customHeight="1">
      <c r="A43" s="64"/>
      <c r="B43" s="65"/>
      <c r="C43" s="65"/>
      <c r="D43" s="65"/>
      <c r="E43" s="65"/>
      <c r="F43" s="43"/>
      <c r="G43" s="12"/>
      <c r="H43" s="12"/>
      <c r="I43" s="12"/>
      <c r="J43" s="53"/>
      <c r="K43" s="12"/>
      <c r="L43" s="12"/>
      <c r="M43" s="12"/>
      <c r="N43" s="12"/>
      <c r="O43" s="12"/>
      <c r="P43" s="13"/>
    </row>
    <row r="44" ht="11.1" customHeight="1">
      <c r="A44" t="s" s="66">
        <v>65</v>
      </c>
      <c r="B44" s="67"/>
      <c r="C44" s="68"/>
      <c r="D44" t="s" s="69">
        <v>66</v>
      </c>
      <c r="E44" t="s" s="70">
        <v>67</v>
      </c>
      <c r="F44" s="71"/>
      <c r="G44" t="s" s="72">
        <v>68</v>
      </c>
      <c r="H44" s="12"/>
      <c r="I44" s="12"/>
      <c r="J44" s="12"/>
      <c r="K44" s="12"/>
      <c r="L44" s="12"/>
      <c r="M44" s="12"/>
      <c r="N44" s="12"/>
      <c r="O44" s="12"/>
      <c r="P44" s="13"/>
    </row>
    <row r="45" ht="11.1" customHeight="1">
      <c r="A45" t="s" s="73">
        <v>69</v>
      </c>
      <c r="B45" s="53"/>
      <c r="C45" s="74"/>
      <c r="D45" s="75"/>
      <c r="E45" s="76"/>
      <c r="F45" s="71"/>
      <c r="G45" t="s" s="72">
        <v>70</v>
      </c>
      <c r="H45" s="12"/>
      <c r="I45" s="12"/>
      <c r="J45" s="12"/>
      <c r="K45" s="12"/>
      <c r="L45" s="12"/>
      <c r="M45" s="12"/>
      <c r="N45" s="12"/>
      <c r="O45" s="12"/>
      <c r="P45" s="13"/>
    </row>
    <row r="46" ht="11.1" customHeight="1">
      <c r="A46" t="s" s="77">
        <v>71</v>
      </c>
      <c r="B46" s="51"/>
      <c r="C46" s="78"/>
      <c r="D46" s="79">
        <v>0</v>
      </c>
      <c r="E46" s="80">
        <v>0</v>
      </c>
      <c r="F46" s="71"/>
      <c r="G46" t="s" s="41">
        <v>72</v>
      </c>
      <c r="H46" s="12"/>
      <c r="I46" s="12"/>
      <c r="J46" s="12"/>
      <c r="K46" s="12"/>
      <c r="L46" s="12"/>
      <c r="M46" s="12"/>
      <c r="N46" s="12"/>
      <c r="O46" s="12"/>
      <c r="P46" s="13"/>
    </row>
    <row r="47" ht="8" customHeight="1">
      <c r="A47" s="81"/>
      <c r="B47" s="53"/>
      <c r="C47" s="74"/>
      <c r="D47" t="s" s="82">
        <v>14</v>
      </c>
      <c r="E47" s="76"/>
      <c r="F47" s="71"/>
      <c r="G47" s="12"/>
      <c r="H47" s="12"/>
      <c r="I47" s="12"/>
      <c r="J47" s="12"/>
      <c r="K47" s="12"/>
      <c r="L47" s="12"/>
      <c r="M47" s="12"/>
      <c r="N47" s="12"/>
      <c r="O47" s="12"/>
      <c r="P47" s="13"/>
    </row>
    <row r="48" ht="12.75" customHeight="1">
      <c r="A48" t="s" s="77">
        <v>73</v>
      </c>
      <c r="B48" s="51"/>
      <c r="C48" s="78"/>
      <c r="D48" s="79">
        <v>0</v>
      </c>
      <c r="E48" s="80">
        <v>0</v>
      </c>
      <c r="F48" s="71"/>
      <c r="G48" t="s" s="41">
        <v>34</v>
      </c>
      <c r="H48" s="51"/>
      <c r="I48" s="51"/>
      <c r="J48" s="51"/>
      <c r="K48" t="s" s="41">
        <v>35</v>
      </c>
      <c r="L48" s="51"/>
      <c r="M48" s="51"/>
      <c r="N48" s="51"/>
      <c r="O48" s="12"/>
      <c r="P48" s="13"/>
    </row>
    <row r="49" ht="8" customHeight="1">
      <c r="A49" s="81"/>
      <c r="B49" s="53"/>
      <c r="C49" s="74"/>
      <c r="D49" s="75"/>
      <c r="E49" s="76"/>
      <c r="F49" s="71"/>
      <c r="G49" s="12"/>
      <c r="H49" s="53"/>
      <c r="I49" s="53"/>
      <c r="J49" s="53"/>
      <c r="K49" s="12"/>
      <c r="L49" s="53"/>
      <c r="M49" s="53"/>
      <c r="N49" s="53"/>
      <c r="O49" s="12"/>
      <c r="P49" s="13"/>
    </row>
    <row r="50" ht="12.75" customHeight="1">
      <c r="A50" t="s" s="77">
        <v>74</v>
      </c>
      <c r="B50" s="51"/>
      <c r="C50" s="78"/>
      <c r="D50" s="79" cm="1">
        <f t="array" ref="D50">SUM(D46:D48)</f>
        <v>0</v>
      </c>
      <c r="E50" s="80" cm="1">
        <f t="array" ref="E50">SUM(E46:E48)</f>
        <v>0</v>
      </c>
      <c r="F50" s="71"/>
      <c r="G50" t="s" s="41">
        <v>75</v>
      </c>
      <c r="H50" s="12"/>
      <c r="I50" s="12"/>
      <c r="J50" s="12"/>
      <c r="K50" s="12"/>
      <c r="L50" s="12"/>
      <c r="M50" s="12"/>
      <c r="N50" s="12"/>
      <c r="O50" s="12"/>
      <c r="P50" s="13"/>
    </row>
    <row r="51" ht="9" customHeight="1">
      <c r="A51" s="81"/>
      <c r="B51" s="53"/>
      <c r="C51" s="74"/>
      <c r="D51" s="83" cm="1">
        <f t="array" ref="D51">SUM(D50:E50)</f>
        <v>0</v>
      </c>
      <c r="E51" s="84"/>
      <c r="F51" s="71"/>
      <c r="G51" t="s" s="41">
        <v>76</v>
      </c>
      <c r="H51" s="12"/>
      <c r="I51" s="12"/>
      <c r="J51" s="12"/>
      <c r="K51" s="12"/>
      <c r="L51" s="12"/>
      <c r="M51" s="12"/>
      <c r="N51" s="12"/>
      <c r="O51" s="12"/>
      <c r="P51" s="13"/>
    </row>
    <row r="52" ht="12.75" customHeight="1">
      <c r="A52" t="s" s="85">
        <v>77</v>
      </c>
      <c r="B52" s="37"/>
      <c r="C52" s="86"/>
      <c r="D52" s="87"/>
      <c r="E52" s="88"/>
      <c r="F52" s="71"/>
      <c r="G52" t="s" s="41">
        <v>78</v>
      </c>
      <c r="H52" s="12"/>
      <c r="I52" s="12"/>
      <c r="J52" s="12"/>
      <c r="K52" s="12"/>
      <c r="L52" s="12"/>
      <c r="M52" s="12"/>
      <c r="N52" s="12"/>
      <c r="O52" s="12"/>
      <c r="P52" s="13"/>
    </row>
    <row r="53" ht="8" customHeight="1">
      <c r="A53" s="89"/>
      <c r="B53" s="90"/>
      <c r="C53" s="90"/>
      <c r="D53" s="90"/>
      <c r="E53" s="90"/>
      <c r="F53" s="58"/>
      <c r="G53" s="36"/>
      <c r="H53" s="36"/>
      <c r="I53" s="36"/>
      <c r="J53" s="36"/>
      <c r="K53" s="36"/>
      <c r="L53" s="36"/>
      <c r="M53" s="36"/>
      <c r="N53" s="36"/>
      <c r="O53" s="12"/>
      <c r="P53" s="13"/>
    </row>
    <row r="54" ht="15.5" customHeight="1">
      <c r="A54" t="s" s="91">
        <v>79</v>
      </c>
      <c r="B54" s="92"/>
      <c r="C54" s="92"/>
      <c r="D54" s="92"/>
      <c r="E54" s="92"/>
      <c r="F54" s="92"/>
      <c r="G54" t="s" s="93">
        <v>80</v>
      </c>
      <c r="H54" s="92"/>
      <c r="I54" s="92"/>
      <c r="J54" s="92"/>
      <c r="K54" s="92"/>
      <c r="L54" s="92"/>
      <c r="M54" s="92"/>
      <c r="N54" s="92"/>
      <c r="O54" s="12"/>
      <c r="P54" s="13"/>
    </row>
    <row r="55" ht="15" customHeight="1">
      <c r="A55" s="4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94"/>
      <c r="O55" s="12"/>
      <c r="P55" s="13"/>
    </row>
    <row r="56" ht="15" customHeight="1">
      <c r="A56" s="95"/>
      <c r="B56" s="96"/>
      <c r="C56" s="96"/>
      <c r="D56" s="96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/>
    </row>
    <row r="57" ht="15" customHeight="1">
      <c r="A57" s="97"/>
      <c r="B57" s="98"/>
      <c r="C57" s="98"/>
      <c r="D57" s="98"/>
      <c r="E57" s="98"/>
      <c r="F57" s="98"/>
      <c r="G57" s="98"/>
      <c r="H57" s="98"/>
      <c r="I57" s="98"/>
      <c r="J57" s="99"/>
      <c r="K57" s="99"/>
      <c r="L57" s="99"/>
      <c r="M57" s="99"/>
      <c r="N57" s="99"/>
      <c r="O57" s="99"/>
      <c r="P57" s="100"/>
    </row>
  </sheetData>
  <mergeCells count="2">
    <mergeCell ref="D51:E52"/>
    <mergeCell ref="A44:C44"/>
  </mergeCells>
  <pageMargins left="0.046" right="0.513" top="0.006" bottom="0.019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K40"/>
  <sheetViews>
    <sheetView workbookViewId="0" showGridLines="0" defaultGridColor="1"/>
  </sheetViews>
  <sheetFormatPr defaultColWidth="9.8" defaultRowHeight="12.75" customHeight="1" outlineLevelRow="0" outlineLevelCol="0"/>
  <cols>
    <col min="1" max="1" width="5.42188" style="101" customWidth="1"/>
    <col min="2" max="2" width="34.2109" style="101" customWidth="1"/>
    <col min="3" max="3" width="14.4219" style="101" customWidth="1"/>
    <col min="4" max="4" width="14.6016" style="101" customWidth="1"/>
    <col min="5" max="5" width="13.8125" style="101" customWidth="1"/>
    <col min="6" max="6" width="13.2109" style="101" customWidth="1"/>
    <col min="7" max="7" width="14.4219" style="101" customWidth="1"/>
    <col min="8" max="8" width="10" style="101" customWidth="1"/>
    <col min="9" max="9" width="14.4219" style="101" customWidth="1"/>
    <col min="10" max="10" width="13.4219" style="101" customWidth="1"/>
    <col min="11" max="11" width="12.4219" style="101" customWidth="1"/>
    <col min="12" max="16384" width="9.8125" style="101" customWidth="1"/>
  </cols>
  <sheetData>
    <row r="1" ht="25.5" customHeight="1">
      <c r="A1" t="s" s="102">
        <v>81</v>
      </c>
      <c r="B1" s="103"/>
      <c r="C1" s="103"/>
      <c r="D1" s="103"/>
      <c r="E1" t="s" s="104">
        <v>82</v>
      </c>
      <c r="F1" s="103"/>
      <c r="G1" s="105"/>
      <c r="H1" s="103"/>
      <c r="I1" t="s" s="106">
        <v>14</v>
      </c>
      <c r="J1" s="107"/>
      <c r="K1" s="108"/>
    </row>
    <row r="2" ht="15.5" customHeight="1">
      <c r="A2" t="s" s="109">
        <v>83</v>
      </c>
      <c r="B2" s="110"/>
      <c r="C2" s="110"/>
      <c r="D2" s="110"/>
      <c r="E2" s="110"/>
      <c r="F2" s="110"/>
      <c r="G2" s="110"/>
      <c r="H2" t="s" s="111">
        <v>6</v>
      </c>
      <c r="I2" s="112">
        <v>1</v>
      </c>
      <c r="J2" s="113"/>
      <c r="K2" s="13"/>
    </row>
    <row r="3" ht="11.1" customHeight="1">
      <c r="A3" t="s" s="42">
        <v>84</v>
      </c>
      <c r="B3" s="12"/>
      <c r="C3" s="12"/>
      <c r="D3" s="18"/>
      <c r="E3" s="114"/>
      <c r="F3" s="12"/>
      <c r="G3" s="12"/>
      <c r="H3" t="s" s="16">
        <v>85</v>
      </c>
      <c r="I3" s="115" cm="1">
        <f t="array" ref="I3">TODAY()</f>
        <v>46268</v>
      </c>
      <c r="J3" s="12"/>
      <c r="K3" s="13"/>
    </row>
    <row r="4" ht="14.1" customHeight="1">
      <c r="A4" t="s" s="42">
        <v>86</v>
      </c>
      <c r="B4" s="12"/>
      <c r="C4" s="12"/>
      <c r="D4" s="18"/>
      <c r="E4" s="114"/>
      <c r="F4" s="12"/>
      <c r="G4" s="12"/>
      <c r="H4" t="s" s="16">
        <v>9</v>
      </c>
      <c r="I4" s="115" cm="1">
        <f t="array" ref="I4">TODAY()</f>
        <v>46268</v>
      </c>
      <c r="J4" s="12"/>
      <c r="K4" s="13"/>
    </row>
    <row r="5" ht="15" customHeight="1">
      <c r="A5" t="s" s="42">
        <v>87</v>
      </c>
      <c r="B5" s="12"/>
      <c r="C5" s="12"/>
      <c r="D5" s="12"/>
      <c r="E5" s="12"/>
      <c r="F5" s="12"/>
      <c r="G5" s="12"/>
      <c r="H5" t="s" s="16">
        <v>88</v>
      </c>
      <c r="I5" s="116"/>
      <c r="J5" s="116"/>
      <c r="K5" s="13"/>
    </row>
    <row r="6" ht="15" customHeight="1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3"/>
    </row>
    <row r="7" ht="15" customHeight="1">
      <c r="A7" t="s" s="119">
        <v>89</v>
      </c>
      <c r="B7" t="s" s="119">
        <v>90</v>
      </c>
      <c r="C7" t="s" s="119">
        <v>91</v>
      </c>
      <c r="D7" t="s" s="119">
        <v>92</v>
      </c>
      <c r="E7" t="s" s="119">
        <v>93</v>
      </c>
      <c r="F7" t="s" s="119">
        <v>94</v>
      </c>
      <c r="G7" t="s" s="120">
        <v>95</v>
      </c>
      <c r="H7" s="121"/>
      <c r="I7" t="s" s="119">
        <v>96</v>
      </c>
      <c r="J7" t="s" s="119">
        <v>97</v>
      </c>
      <c r="K7" s="122"/>
    </row>
    <row r="8" ht="9.75" customHeight="1">
      <c r="A8" t="s" s="123">
        <v>98</v>
      </c>
      <c r="B8" t="s" s="123">
        <v>99</v>
      </c>
      <c r="C8" t="s" s="123">
        <v>100</v>
      </c>
      <c r="D8" t="s" s="120">
        <v>101</v>
      </c>
      <c r="E8" s="121"/>
      <c r="F8" t="s" s="123">
        <v>102</v>
      </c>
      <c r="G8" t="s" s="123">
        <v>103</v>
      </c>
      <c r="H8" t="s" s="123">
        <v>104</v>
      </c>
      <c r="I8" t="s" s="123">
        <v>105</v>
      </c>
      <c r="J8" t="s" s="123">
        <v>106</v>
      </c>
      <c r="K8" s="122"/>
    </row>
    <row r="9" ht="9.75" customHeight="1">
      <c r="A9" t="s" s="124">
        <v>107</v>
      </c>
      <c r="B9" s="125"/>
      <c r="C9" t="s" s="124">
        <v>108</v>
      </c>
      <c r="D9" t="s" s="123">
        <v>109</v>
      </c>
      <c r="E9" t="s" s="123">
        <v>110</v>
      </c>
      <c r="F9" t="s" s="124">
        <v>111</v>
      </c>
      <c r="G9" t="s" s="124">
        <v>112</v>
      </c>
      <c r="H9" t="s" s="124">
        <v>113</v>
      </c>
      <c r="I9" t="s" s="124">
        <v>114</v>
      </c>
      <c r="J9" s="126"/>
      <c r="K9" s="122"/>
    </row>
    <row r="10" ht="9.75" customHeight="1">
      <c r="A10" s="127"/>
      <c r="B10" s="125"/>
      <c r="C10" s="125"/>
      <c r="D10" t="s" s="124">
        <v>115</v>
      </c>
      <c r="E10" s="125"/>
      <c r="F10" t="s" s="124">
        <v>116</v>
      </c>
      <c r="G10" t="s" s="124">
        <v>117</v>
      </c>
      <c r="H10" s="125"/>
      <c r="I10" t="s" s="124">
        <v>118</v>
      </c>
      <c r="J10" s="128">
        <v>0.05</v>
      </c>
      <c r="K10" s="122"/>
    </row>
    <row r="11" ht="9.75" customHeight="1">
      <c r="A11" s="127"/>
      <c r="B11" s="125"/>
      <c r="C11" s="125"/>
      <c r="D11" t="s" s="124">
        <v>119</v>
      </c>
      <c r="E11" s="125"/>
      <c r="F11" t="s" s="124">
        <v>120</v>
      </c>
      <c r="G11" t="s" s="124">
        <v>121</v>
      </c>
      <c r="H11" s="125"/>
      <c r="I11" s="125"/>
      <c r="J11" s="125"/>
      <c r="K11" s="122"/>
    </row>
    <row r="12" ht="9.75" customHeight="1">
      <c r="A12" s="129"/>
      <c r="B12" s="130"/>
      <c r="C12" s="130"/>
      <c r="D12" s="130"/>
      <c r="E12" s="130"/>
      <c r="F12" t="s" s="131">
        <v>122</v>
      </c>
      <c r="G12" t="s" s="131">
        <v>123</v>
      </c>
      <c r="H12" s="130"/>
      <c r="I12" s="130"/>
      <c r="J12" t="s" s="132">
        <v>14</v>
      </c>
      <c r="K12" s="122"/>
    </row>
    <row r="13" ht="15" customHeight="1">
      <c r="A13" s="133">
        <v>1</v>
      </c>
      <c r="B13" t="s" s="134">
        <v>124</v>
      </c>
      <c r="C13" s="135">
        <v>0</v>
      </c>
      <c r="D13" s="135">
        <v>0</v>
      </c>
      <c r="E13" s="135">
        <v>0</v>
      </c>
      <c r="F13" s="135"/>
      <c r="G13" s="136" cm="1">
        <f t="array" ref="G13">D13+E13</f>
        <v>0</v>
      </c>
      <c r="H13" s="137"/>
      <c r="I13" t="str" s="138" cm="1">
        <f t="array" ref="I13">IF(C13-G13=0,"",C13-G13)</f>
      </c>
      <c r="J13" s="136" cm="1">
        <f t="array" ref="J13">G13*0.05</f>
        <v>0</v>
      </c>
      <c r="K13" s="122"/>
    </row>
    <row r="14" ht="15" customHeight="1">
      <c r="A14" s="133"/>
      <c r="B14" s="139"/>
      <c r="C14" s="135">
        <v>0</v>
      </c>
      <c r="D14" s="135">
        <v>0</v>
      </c>
      <c r="E14" s="135">
        <v>0</v>
      </c>
      <c r="F14" s="135"/>
      <c r="G14" s="136" cm="1">
        <f t="array" ref="G14">D14+E14</f>
        <v>0</v>
      </c>
      <c r="H14" s="137"/>
      <c r="I14" t="str" s="138" cm="1">
        <f t="array" ref="I14">IF(C14-G14=0,"",C14-G14)</f>
      </c>
      <c r="J14" s="136" cm="1">
        <f t="array" ref="J14">G14*0.05</f>
        <v>0</v>
      </c>
      <c r="K14" s="140"/>
    </row>
    <row r="15" ht="15" customHeight="1">
      <c r="A15" s="133"/>
      <c r="B15" s="139"/>
      <c r="C15" s="135">
        <v>0</v>
      </c>
      <c r="D15" s="135">
        <v>0</v>
      </c>
      <c r="E15" s="135">
        <v>0</v>
      </c>
      <c r="F15" s="135"/>
      <c r="G15" s="136" cm="1">
        <f t="array" ref="G15">D15+E15</f>
        <v>0</v>
      </c>
      <c r="H15" s="137"/>
      <c r="I15" t="str" s="138" cm="1">
        <f t="array" ref="I15">IF(C15-G15=0,"",C15-G15)</f>
      </c>
      <c r="J15" s="136" cm="1">
        <f t="array" ref="J15">G15*0.1</f>
        <v>0</v>
      </c>
      <c r="K15" s="122"/>
    </row>
    <row r="16" ht="15" customHeight="1">
      <c r="A16" s="133"/>
      <c r="B16" s="139"/>
      <c r="C16" s="135">
        <v>0</v>
      </c>
      <c r="D16" s="135">
        <v>0</v>
      </c>
      <c r="E16" s="135">
        <v>0</v>
      </c>
      <c r="F16" s="135"/>
      <c r="G16" s="136" cm="1">
        <f t="array" ref="G16">D16+E16</f>
        <v>0</v>
      </c>
      <c r="H16" s="137"/>
      <c r="I16" t="str" s="138" cm="1">
        <f t="array" ref="I16">IF(C16-G16=0,"",C16-G16)</f>
      </c>
      <c r="J16" s="136" cm="1">
        <f t="array" ref="J16">G16*0.1</f>
        <v>0</v>
      </c>
      <c r="K16" s="122"/>
    </row>
    <row r="17" ht="15" customHeight="1">
      <c r="A17" s="133"/>
      <c r="B17" s="139"/>
      <c r="C17" s="135">
        <v>0</v>
      </c>
      <c r="D17" s="135">
        <v>0</v>
      </c>
      <c r="E17" s="135">
        <v>0</v>
      </c>
      <c r="F17" s="135"/>
      <c r="G17" s="136" cm="1">
        <f t="array" ref="G17">D17+E17</f>
        <v>0</v>
      </c>
      <c r="H17" s="137"/>
      <c r="I17" t="str" s="138" cm="1">
        <f t="array" ref="I17">IF(C17-G17=0,"",C17-G17)</f>
      </c>
      <c r="J17" s="136" cm="1">
        <f t="array" ref="J17">G17*0.1</f>
        <v>0</v>
      </c>
      <c r="K17" s="122"/>
    </row>
    <row r="18" ht="15" customHeight="1">
      <c r="A18" s="133"/>
      <c r="B18" s="139"/>
      <c r="C18" s="135">
        <v>0</v>
      </c>
      <c r="D18" s="135">
        <v>0</v>
      </c>
      <c r="E18" s="135">
        <v>0</v>
      </c>
      <c r="F18" s="135"/>
      <c r="G18" s="136" cm="1">
        <f t="array" ref="G18">D18+E18</f>
        <v>0</v>
      </c>
      <c r="H18" s="137"/>
      <c r="I18" t="str" s="138" cm="1">
        <f t="array" ref="I18">IF(C18-G18=0,"",C18-G18)</f>
      </c>
      <c r="J18" s="136" cm="1">
        <f t="array" ref="J18">G18*0.1</f>
        <v>0</v>
      </c>
      <c r="K18" s="122"/>
    </row>
    <row r="19" ht="15" customHeight="1">
      <c r="A19" s="133"/>
      <c r="B19" s="139"/>
      <c r="C19" s="135">
        <v>0</v>
      </c>
      <c r="D19" s="135">
        <v>0</v>
      </c>
      <c r="E19" s="135">
        <v>0</v>
      </c>
      <c r="F19" s="135"/>
      <c r="G19" s="136" cm="1">
        <f t="array" ref="G19">D19+E19</f>
        <v>0</v>
      </c>
      <c r="H19" s="137"/>
      <c r="I19" t="str" s="138" cm="1">
        <f t="array" ref="I19">IF(C19-G19=0,"",C19-G19)</f>
      </c>
      <c r="J19" s="136" cm="1">
        <f t="array" ref="J19">G19*0.1</f>
        <v>0</v>
      </c>
      <c r="K19" s="122"/>
    </row>
    <row r="20" ht="15" customHeight="1">
      <c r="A20" s="133"/>
      <c r="B20" s="139"/>
      <c r="C20" s="135">
        <v>0</v>
      </c>
      <c r="D20" s="135">
        <v>0</v>
      </c>
      <c r="E20" s="135">
        <v>0</v>
      </c>
      <c r="F20" s="135"/>
      <c r="G20" s="136" cm="1">
        <f t="array" ref="G20">D20+E20</f>
        <v>0</v>
      </c>
      <c r="H20" s="137"/>
      <c r="I20" t="str" s="138" cm="1">
        <f t="array" ref="I20">IF(C20-G20=0,"",C20-G20)</f>
      </c>
      <c r="J20" s="136" cm="1">
        <f t="array" ref="J20">G20*0.1</f>
        <v>0</v>
      </c>
      <c r="K20" s="122"/>
    </row>
    <row r="21" ht="15" customHeight="1">
      <c r="A21" s="133"/>
      <c r="B21" s="139"/>
      <c r="C21" s="135">
        <v>0</v>
      </c>
      <c r="D21" s="135">
        <v>0</v>
      </c>
      <c r="E21" s="135">
        <v>0</v>
      </c>
      <c r="F21" s="135"/>
      <c r="G21" s="136" cm="1">
        <f t="array" ref="G21">D21+E21</f>
        <v>0</v>
      </c>
      <c r="H21" s="137"/>
      <c r="I21" t="str" s="138" cm="1">
        <f t="array" ref="I21">IF(C21-G21=0,"",C21-G21)</f>
      </c>
      <c r="J21" s="136" cm="1">
        <f t="array" ref="J21">G21*0.1</f>
        <v>0</v>
      </c>
      <c r="K21" s="122"/>
    </row>
    <row r="22" ht="15" customHeight="1">
      <c r="A22" s="133"/>
      <c r="B22" s="139"/>
      <c r="C22" s="135">
        <v>0</v>
      </c>
      <c r="D22" s="135">
        <v>0</v>
      </c>
      <c r="E22" s="135">
        <v>0</v>
      </c>
      <c r="F22" s="135"/>
      <c r="G22" s="136" cm="1">
        <f t="array" ref="G22">D22+E22</f>
        <v>0</v>
      </c>
      <c r="H22" s="137"/>
      <c r="I22" t="str" s="138" cm="1">
        <f t="array" ref="I22">IF(C22-G22=0,"",C22-G22)</f>
      </c>
      <c r="J22" s="136" cm="1">
        <f t="array" ref="J22">G22*0.1</f>
        <v>0</v>
      </c>
      <c r="K22" s="122"/>
    </row>
    <row r="23" ht="15" customHeight="1">
      <c r="A23" s="133"/>
      <c r="B23" s="139"/>
      <c r="C23" s="135">
        <v>0</v>
      </c>
      <c r="D23" s="135">
        <v>0</v>
      </c>
      <c r="E23" s="135">
        <v>0</v>
      </c>
      <c r="F23" s="135"/>
      <c r="G23" s="136" cm="1">
        <f t="array" ref="G23">D23+E23</f>
        <v>0</v>
      </c>
      <c r="H23" s="137"/>
      <c r="I23" t="str" s="138" cm="1">
        <f t="array" ref="I23">IF(C23-G23=0,"",C23-G23)</f>
      </c>
      <c r="J23" s="136" cm="1">
        <f t="array" ref="J23">G23*0.1</f>
        <v>0</v>
      </c>
      <c r="K23" s="122"/>
    </row>
    <row r="24" ht="15" customHeight="1">
      <c r="A24" s="133"/>
      <c r="B24" s="139"/>
      <c r="C24" s="135">
        <v>0</v>
      </c>
      <c r="D24" s="135">
        <v>0</v>
      </c>
      <c r="E24" s="135">
        <v>0</v>
      </c>
      <c r="F24" s="135"/>
      <c r="G24" s="136" cm="1">
        <f t="array" ref="G24">D24+E24</f>
        <v>0</v>
      </c>
      <c r="H24" s="137"/>
      <c r="I24" t="str" s="138" cm="1">
        <f t="array" ref="I24">IF(C24-G24=0,"",C24-G24)</f>
      </c>
      <c r="J24" s="136" cm="1">
        <f t="array" ref="J24">G24*0.1</f>
        <v>0</v>
      </c>
      <c r="K24" s="122"/>
    </row>
    <row r="25" ht="15" customHeight="1">
      <c r="A25" s="133"/>
      <c r="B25" s="139"/>
      <c r="C25" s="135">
        <v>0</v>
      </c>
      <c r="D25" s="135">
        <v>0</v>
      </c>
      <c r="E25" s="135">
        <v>0</v>
      </c>
      <c r="F25" s="135"/>
      <c r="G25" s="136" cm="1">
        <f t="array" ref="G25">D25+E25</f>
        <v>0</v>
      </c>
      <c r="H25" s="137"/>
      <c r="I25" t="str" s="138" cm="1">
        <f t="array" ref="I25">IF(C25-G25=0,"",C25-G25)</f>
      </c>
      <c r="J25" s="136" cm="1">
        <f t="array" ref="J25">G25*0.1</f>
        <v>0</v>
      </c>
      <c r="K25" s="122"/>
    </row>
    <row r="26" ht="15" customHeight="1">
      <c r="A26" s="133"/>
      <c r="B26" s="139"/>
      <c r="C26" s="135">
        <v>0</v>
      </c>
      <c r="D26" s="135">
        <v>0</v>
      </c>
      <c r="E26" s="135">
        <v>0</v>
      </c>
      <c r="F26" s="135"/>
      <c r="G26" s="136" cm="1">
        <f t="array" ref="G26">D26+E26</f>
        <v>0</v>
      </c>
      <c r="H26" s="137"/>
      <c r="I26" t="str" s="138" cm="1">
        <f t="array" ref="I26">IF(C26-G26=0,"",C26-G26)</f>
      </c>
      <c r="J26" s="136" cm="1">
        <f t="array" ref="J26">G26*0.1</f>
        <v>0</v>
      </c>
      <c r="K26" s="122"/>
    </row>
    <row r="27" ht="15" customHeight="1">
      <c r="A27" s="133"/>
      <c r="B27" s="139"/>
      <c r="C27" s="135">
        <v>0</v>
      </c>
      <c r="D27" s="135">
        <v>0</v>
      </c>
      <c r="E27" s="135">
        <v>0</v>
      </c>
      <c r="F27" s="135"/>
      <c r="G27" s="136" cm="1">
        <f t="array" ref="G27">D27+E27</f>
        <v>0</v>
      </c>
      <c r="H27" s="137"/>
      <c r="I27" t="str" s="138" cm="1">
        <f t="array" ref="I27">IF(C27-G27=0,"",C27-G27)</f>
      </c>
      <c r="J27" s="136" cm="1">
        <f t="array" ref="J27">G27*0.1</f>
        <v>0</v>
      </c>
      <c r="K27" s="122"/>
    </row>
    <row r="28" ht="15" customHeight="1">
      <c r="A28" s="133"/>
      <c r="B28" s="141"/>
      <c r="C28" s="135">
        <v>0</v>
      </c>
      <c r="D28" s="135">
        <v>0</v>
      </c>
      <c r="E28" s="135">
        <v>0</v>
      </c>
      <c r="F28" s="135"/>
      <c r="G28" s="136" cm="1">
        <f t="array" ref="G28">D28+E28</f>
        <v>0</v>
      </c>
      <c r="H28" s="137"/>
      <c r="I28" t="str" s="138" cm="1">
        <f t="array" ref="I28">IF(C28-G28=0,"",C28-G28)</f>
      </c>
      <c r="J28" s="136" cm="1">
        <f t="array" ref="J28">G28*0.1</f>
        <v>0</v>
      </c>
      <c r="K28" s="122"/>
    </row>
    <row r="29" ht="15" customHeight="1">
      <c r="A29" s="133"/>
      <c r="B29" s="139"/>
      <c r="C29" s="135">
        <v>0</v>
      </c>
      <c r="D29" s="135">
        <v>0</v>
      </c>
      <c r="E29" s="135">
        <v>0</v>
      </c>
      <c r="F29" s="135"/>
      <c r="G29" s="136" cm="1">
        <f t="array" ref="G29">D29+E29</f>
        <v>0</v>
      </c>
      <c r="H29" s="137"/>
      <c r="I29" t="str" s="138" cm="1">
        <f t="array" ref="I29">IF(C29-G29=0,"",C29-G29)</f>
      </c>
      <c r="J29" s="136" cm="1">
        <f t="array" ref="J29">G29*0.1</f>
        <v>0</v>
      </c>
      <c r="K29" s="122"/>
    </row>
    <row r="30" ht="15" customHeight="1">
      <c r="A30" s="133"/>
      <c r="B30" s="139"/>
      <c r="C30" s="135">
        <v>0</v>
      </c>
      <c r="D30" s="135">
        <v>0</v>
      </c>
      <c r="E30" s="135">
        <v>0</v>
      </c>
      <c r="F30" s="135"/>
      <c r="G30" s="136" cm="1">
        <f t="array" ref="G30">D30+E30</f>
        <v>0</v>
      </c>
      <c r="H30" s="137"/>
      <c r="I30" t="str" s="138" cm="1">
        <f t="array" ref="I30">IF(C30-G30=0,"",C30-G30)</f>
      </c>
      <c r="J30" s="136" cm="1">
        <f t="array" ref="J30">G30*0.1</f>
        <v>0</v>
      </c>
      <c r="K30" s="122"/>
    </row>
    <row r="31" ht="15" customHeight="1">
      <c r="A31" s="133"/>
      <c r="B31" s="139"/>
      <c r="C31" s="135">
        <v>0</v>
      </c>
      <c r="D31" s="135">
        <v>0</v>
      </c>
      <c r="E31" s="135">
        <v>0</v>
      </c>
      <c r="F31" s="135"/>
      <c r="G31" s="136" cm="1">
        <f t="array" ref="G31">D31+E31</f>
        <v>0</v>
      </c>
      <c r="H31" s="137"/>
      <c r="I31" t="str" s="138" cm="1">
        <f t="array" ref="I31">IF(C31-G31=0,"",C31-G31)</f>
      </c>
      <c r="J31" s="136" cm="1">
        <f t="array" ref="J31">G31*0.1</f>
        <v>0</v>
      </c>
      <c r="K31" s="122"/>
    </row>
    <row r="32" ht="15" customHeight="1">
      <c r="A32" s="133"/>
      <c r="B32" s="139"/>
      <c r="C32" s="135">
        <v>0</v>
      </c>
      <c r="D32" s="135">
        <v>0</v>
      </c>
      <c r="E32" s="135">
        <v>0</v>
      </c>
      <c r="F32" s="135"/>
      <c r="G32" s="136" cm="1">
        <f t="array" ref="G32">D32+E32</f>
        <v>0</v>
      </c>
      <c r="H32" s="137"/>
      <c r="I32" t="str" s="138" cm="1">
        <f t="array" ref="I32">IF(C32-G32=0,"",C32-G32)</f>
      </c>
      <c r="J32" s="136" cm="1">
        <f t="array" ref="J32">G32*0.1</f>
        <v>0</v>
      </c>
      <c r="K32" s="122"/>
    </row>
    <row r="33" ht="15" customHeight="1">
      <c r="A33" s="133"/>
      <c r="B33" s="139"/>
      <c r="C33" s="135">
        <v>0</v>
      </c>
      <c r="D33" s="135">
        <v>0</v>
      </c>
      <c r="E33" s="135">
        <v>0</v>
      </c>
      <c r="F33" s="135"/>
      <c r="G33" s="136" cm="1">
        <f t="array" ref="G33">D33+E33</f>
        <v>0</v>
      </c>
      <c r="H33" s="137"/>
      <c r="I33" t="str" s="138" cm="1">
        <f t="array" ref="I33">IF(C33-G33=0,"",C33-G33)</f>
      </c>
      <c r="J33" s="136" cm="1">
        <f t="array" ref="J33">G33*0.1</f>
        <v>0</v>
      </c>
      <c r="K33" s="122"/>
    </row>
    <row r="34" ht="15" customHeight="1">
      <c r="A34" s="133"/>
      <c r="B34" s="139"/>
      <c r="C34" s="135"/>
      <c r="D34" s="135"/>
      <c r="E34" s="135"/>
      <c r="F34" s="135"/>
      <c r="G34" s="136"/>
      <c r="H34" s="137"/>
      <c r="I34" s="136"/>
      <c r="J34" s="136" cm="1">
        <f t="array" ref="J34">G34*0.1</f>
        <v>0</v>
      </c>
      <c r="K34" s="122"/>
    </row>
    <row r="35" ht="15" customHeight="1">
      <c r="A35" s="142"/>
      <c r="B35" t="s" s="143">
        <v>125</v>
      </c>
      <c r="C35" s="144" cm="1">
        <f t="array" ref="C35">SUM(C13:C34)</f>
        <v>0</v>
      </c>
      <c r="D35" t="str" s="145" cm="1">
        <f t="array" ref="D35">IF(SUM(D13:D34)=0,"",SUM(D13:D34))</f>
      </c>
      <c r="E35" s="144" cm="1">
        <f t="array" ref="E35">SUM(E13:E34)</f>
        <v>0</v>
      </c>
      <c r="F35" t="str" s="145" cm="1">
        <f t="array" ref="F35">IF(SUM(F13:F34)=0,"",SUM(F13:F34))</f>
      </c>
      <c r="G35" s="144" cm="1">
        <f t="array" ref="G35">SUM(G13:G34)</f>
        <v>0</v>
      </c>
      <c r="H35" s="146"/>
      <c r="I35" t="str" s="145" cm="1">
        <f t="array" ref="I35">IF(SUM(I13:I34)=0,"",SUM(I13:I34))</f>
      </c>
      <c r="J35" s="144" cm="1">
        <f t="array" ref="J35">SUM(J13:J34)</f>
        <v>0</v>
      </c>
      <c r="K35" s="122"/>
    </row>
    <row r="36" ht="12.75" customHeight="1">
      <c r="A36" s="147"/>
      <c r="B36" s="148"/>
      <c r="C36" s="148"/>
      <c r="D36" s="148"/>
      <c r="E36" s="148"/>
      <c r="F36" s="148"/>
      <c r="G36" s="148"/>
      <c r="H36" s="149"/>
      <c r="I36" s="148"/>
      <c r="J36" s="148"/>
      <c r="K36" s="122"/>
    </row>
    <row r="37" ht="15" customHeight="1">
      <c r="A37" s="150"/>
      <c r="B37" s="151"/>
      <c r="C37" s="151"/>
      <c r="D37" s="151"/>
      <c r="E37" s="151"/>
      <c r="F37" s="151"/>
      <c r="G37" s="151"/>
      <c r="H37" s="152"/>
      <c r="I37" s="151"/>
      <c r="J37" s="53"/>
      <c r="K37" s="13"/>
    </row>
    <row r="38" ht="15" customHeight="1">
      <c r="A38" s="153"/>
      <c r="B38" s="154"/>
      <c r="C38" s="155"/>
      <c r="D38" s="155"/>
      <c r="E38" s="155"/>
      <c r="F38" s="155"/>
      <c r="G38" s="155"/>
      <c r="H38" s="155"/>
      <c r="I38" s="155"/>
      <c r="J38" s="12"/>
      <c r="K38" s="13"/>
    </row>
    <row r="39" ht="15" customHeight="1">
      <c r="A39" s="156"/>
      <c r="B39" s="155"/>
      <c r="C39" s="157"/>
      <c r="D39" s="157"/>
      <c r="E39" s="157"/>
      <c r="F39" s="157"/>
      <c r="G39" s="12"/>
      <c r="H39" s="12"/>
      <c r="I39" s="12"/>
      <c r="J39" s="12"/>
      <c r="K39" s="13"/>
    </row>
    <row r="40" ht="15" customHeight="1">
      <c r="A40" s="158"/>
      <c r="B40" s="159"/>
      <c r="C40" s="160"/>
      <c r="D40" s="160"/>
      <c r="E40" s="160"/>
      <c r="F40" s="160"/>
      <c r="G40" s="99"/>
      <c r="H40" s="99"/>
      <c r="I40" s="99"/>
      <c r="J40" s="99"/>
      <c r="K40" s="100"/>
    </row>
  </sheetData>
  <mergeCells count="2">
    <mergeCell ref="G7:H7"/>
    <mergeCell ref="D8:E8"/>
  </mergeCells>
  <pageMargins left="0.25" right="0.1" top="0.6" bottom="0.69" header="0.5" footer="0.5"/>
  <pageSetup firstPageNumber="1" fitToHeight="1" fitToWidth="1" scale="100" useFirstPageNumber="0" orientation="landscape" pageOrder="downThenOver"/>
  <headerFooter>
    <oddFooter>&amp;R&amp;"Arial,Bold"&amp;8&amp;K000000G703-1992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